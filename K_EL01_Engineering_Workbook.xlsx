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e66b94419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70132272144994"/>
    <x:sheet xmlns:r="http://schemas.openxmlformats.org/officeDocument/2006/relationships" name="Inputs" sheetId="2" r:id="Rdc7a3bd72b794e9a"/>
    <x:sheet xmlns:r="http://schemas.openxmlformats.org/officeDocument/2006/relationships" name="Calcs" sheetId="3" r:id="Rae425f552690408b"/>
    <x:sheet xmlns:r="http://schemas.openxmlformats.org/officeDocument/2006/relationships" name="Sensitivity" sheetId="4" r:id="R102f4c3cea1946fe"/>
    <x:sheet xmlns:r="http://schemas.openxmlformats.org/officeDocument/2006/relationships" name="BOM" sheetId="5" r:id="R85eb1a0b438f4e24"/>
    <x:sheet xmlns:r="http://schemas.openxmlformats.org/officeDocument/2006/relationships" name="Components" sheetId="6" r:id="R930307010786430c"/>
    <x:sheet xmlns:r="http://schemas.openxmlformats.org/officeDocument/2006/relationships" name="Traceability" sheetId="7" r:id="Rfb19e904ebb8487e"/>
    <x:sheet xmlns:r="http://schemas.openxmlformats.org/officeDocument/2006/relationships" name="Risks" sheetId="8" r:id="R2fc74c7d4c844048"/>
    <x:sheet xmlns:r="http://schemas.openxmlformats.org/officeDocument/2006/relationships" name="Validation Plan" sheetId="9" r:id="Re791a68219f14a46"/>
    <x:sheet xmlns:r="http://schemas.openxmlformats.org/officeDocument/2006/relationships" name="Gap Register" sheetId="10" r:id="Rd045b73cf0a34a44"/>
    <x:sheet xmlns:r="http://schemas.openxmlformats.org/officeDocument/2006/relationships" name="Supplier Queries" sheetId="11" r:id="Ra9b805b21aed4bf5"/>
    <x:sheet xmlns:r="http://schemas.openxmlformats.org/officeDocument/2006/relationships" name="Read Me" sheetId="12" r:id="R6929be08ad47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%"/>
    <x:numFmt numFmtId="202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557080"/>
      <x:name val="Carlito"/>
    </x:font>
    <x:font>
      <x:b/>
      <x:sz val="9"/>
      <x:color rgb="FFFFFFFF"/>
      <x:name val="Carlito"/>
    </x:font>
    <x:font>
      <x:sz val="9"/>
      <x:color rgb="FF23313A"/>
      <x:name val="Aptos"/>
    </x:font>
    <x:font>
      <x:b/>
      <x:sz val="9"/>
      <x:color rgb="FF164E83"/>
      <x:name val="Aptos"/>
    </x:font>
    <x:font>
      <x:b/>
      <x:sz val="9"/>
      <x:color rgb="FFC97922"/>
      <x:name val="Aptos"/>
    </x:font>
    <x:font>
      <x:sz val="10"/>
      <x:color rgb="FFC979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7"/>
      </x:patternFill>
    </x:fill>
    <x:fill>
      <x:patternFill patternType="solid">
        <x:fgColor rgb="FFEAF2F5"/>
      </x:patternFill>
    </x:fill>
    <x:fill>
      <x:patternFill patternType="solid">
        <x:fgColor rgb="FF0E7490"/>
      </x:patternFill>
    </x:fill>
    <x:fill>
      <x:patternFill patternType="solid">
        <x:fgColor rgb="FFDCEC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right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right"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right" vertical="center" wrapText="1"/>
    </x:xf>
    <x:xf numFmtId="200" fontId="5" fillId="5" borderId="0" xfId="0" applyNumberFormat="1" applyFont="1" applyFill="1" applyBorder="1" applyAlignment="1">
      <x:alignment horizontal="right" vertical="center" wrapText="1"/>
    </x:xf>
    <x:xf numFmtId="200" fontId="6" fillId="6" borderId="0" xfId="0" applyNumberFormat="1" applyFont="1" applyFill="1" applyBorder="1" applyAlignment="1">
      <x:alignment horizontal="right" vertical="center" wrapText="1"/>
    </x:xf>
    <x:xf numFmtId="200" fontId="5" fillId="5" borderId="1" xfId="0" applyNumberFormat="1" applyFont="1" applyFill="1" applyBorder="1" applyAlignment="1">
      <x:alignment horizontal="right" vertical="center" wrapText="1"/>
    </x:xf>
    <x:xf numFmtId="200" fontId="6" fillId="6" borderId="1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425b96ac34979" /><Relationship Type="http://schemas.openxmlformats.org/officeDocument/2006/relationships/theme" Target="/xl/theme/theme1.xml" Id="Rc98681f13e3f4dce" /><Relationship Type="http://schemas.openxmlformats.org/officeDocument/2006/relationships/sharedStrings" Target="/xl/sharedStrings.xml" Id="Ra5e4da958fbd459d" /><Relationship Type="http://schemas.openxmlformats.org/officeDocument/2006/relationships/worksheet" Target="/xl/worksheets/sheet1.xml" Id="R0a70132272144994" /><Relationship Type="http://schemas.openxmlformats.org/officeDocument/2006/relationships/worksheet" Target="/xl/worksheets/sheet2.xml" Id="Rdc7a3bd72b794e9a" /><Relationship Type="http://schemas.openxmlformats.org/officeDocument/2006/relationships/worksheet" Target="/xl/worksheets/sheet3.xml" Id="Rae425f552690408b" /><Relationship Type="http://schemas.openxmlformats.org/officeDocument/2006/relationships/worksheet" Target="/xl/worksheets/sheet4.xml" Id="R102f4c3cea1946fe" /><Relationship Type="http://schemas.openxmlformats.org/officeDocument/2006/relationships/worksheet" Target="/xl/worksheets/sheet5.xml" Id="R85eb1a0b438f4e24" /><Relationship Type="http://schemas.openxmlformats.org/officeDocument/2006/relationships/worksheet" Target="/xl/worksheets/sheet6.xml" Id="R930307010786430c" /><Relationship Type="http://schemas.openxmlformats.org/officeDocument/2006/relationships/worksheet" Target="/xl/worksheets/sheet7.xml" Id="Rfb19e904ebb8487e" /><Relationship Type="http://schemas.openxmlformats.org/officeDocument/2006/relationships/worksheet" Target="/xl/worksheets/sheet8.xml" Id="R2fc74c7d4c844048" /><Relationship Type="http://schemas.openxmlformats.org/officeDocument/2006/relationships/worksheet" Target="/xl/worksheets/sheet9.xml" Id="Re791a68219f14a46" /><Relationship Type="http://schemas.openxmlformats.org/officeDocument/2006/relationships/worksheet" Target="/xl/worksheets/sheet10.xml" Id="Rd045b73cf0a34a44" /><Relationship Type="http://schemas.openxmlformats.org/officeDocument/2006/relationships/worksheet" Target="/xl/worksheets/sheet11.xml" Id="Ra9b805b21aed4bf5" /><Relationship Type="http://schemas.openxmlformats.org/officeDocument/2006/relationships/worksheet" Target="/xl/worksheets/sheet12.xml" Id="R6929be08ad47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49" hidden="0" customWidth="1"/>
  </x:cols>
  <x:sheetData>
    <x:row r="1" ht="28" customHeight="1">
      <x:c r="A1" s="5" t="str">
        <x:v>K-EL/01 — Engineering Dashboard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Formula-driven screening model • inputs can be edited on Inputs sheet; assumptions are not certified safety factors.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20" t="str">
        <x:v>Metric</x:v>
      </x:c>
      <x:c r="B4" s="20" t="str">
        <x:v>Calculated value</x:v>
      </x:c>
      <x:c r="C4" s="20" t="str">
        <x:v>Units / interpretation</x:v>
      </x:c>
    </x:row>
    <x:row r="5" ht="30" customHeight="1">
      <x:c r="A5" s="28" t="str">
        <x:v>Static gravity torque</x:v>
      </x:c>
      <x:c r="B5" s="28" t="n">
        <x:f>Calcs!C7</x:f>
        <x:v>6.0822</x:v>
      </x:c>
      <x:c r="C5" s="28" t="str">
        <x:v>N·m — prescribed horizontal-arm case</x:v>
      </x:c>
    </x:row>
    <x:row r="6" ht="30" customHeight="1">
      <x:c r="A6" s="28" t="str">
        <x:v>Preliminary output target</x:v>
      </x:c>
      <x:c r="B6" s="28" t="n">
        <x:f>Calcs!C8</x:f>
        <x:v>12.1644</x:v>
      </x:c>
      <x:c r="C6" s="28" t="str">
        <x:v>N·m — torque factor is an assumption</x:v>
      </x:c>
    </x:row>
    <x:row r="7" ht="30" customHeight="1">
      <x:c r="A7" s="28" t="str">
        <x:v>Required motor speed</x:v>
      </x:c>
      <x:c r="B7" s="28" t="n">
        <x:f>Calcs!C10</x:f>
        <x:v>4095</x:v>
      </x:c>
      <x:c r="C7" s="28" t="str">
        <x:v>RPM — output speed × ratio</x:v>
      </x:c>
    </x:row>
    <x:row r="8" ht="30" customHeight="1">
      <x:c r="A8" s="28" t="str">
        <x:v>Ideal target output power</x:v>
      </x:c>
      <x:c r="B8" s="28" t="n">
        <x:f>Calcs!C12</x:f>
        <x:v>57.323384512991524</x:v>
      </x:c>
      <x:c r="C8" s="28" t="str">
        <x:v>W — before drive losses</x:v>
      </x:c>
    </x:row>
    <x:row r="9" ht="30" customHeight="1">
      <x:c r="A9" s="28" t="str">
        <x:v>Motor nominal speed headroom</x:v>
      </x:c>
      <x:c r="B9" s="28" t="n">
        <x:f>Calcs!C11</x:f>
        <x:v>375</x:v>
      </x:c>
      <x:c r="C9" s="28" t="str">
        <x:v>RPM — nominal listing minus kinematic requirement</x:v>
      </x:c>
    </x:row>
    <x:row r="10" ht="30" customHeight="1">
      <x:c r="A10" s="28" t="str">
        <x:v>At base efficiency: required motor torque</x:v>
      </x:c>
      <x:c r="B10" s="28" t="n">
        <x:f>Calcs!C8/(Inputs!B11*Inputs!B16)</x:f>
        <x:v>0.3341868131868132</x:v>
      </x:c>
      <x:c r="C10" s="28" t="str">
        <x:v>N·m — simplified ratio/efficiency screen</x:v>
      </x:c>
    </x:row>
    <x:row r="11" ht="30" customHeight="1">
      <x:c r="A11" s="28" t="str">
        <x:v>At base efficiency: motor-side power</x:v>
      </x:c>
      <x:c r="B11" s="28" t="n">
        <x:f>Calcs!C12/Inputs!B16</x:f>
        <x:v>143.3084612824788</x:v>
      </x:c>
      <x:c r="C11" s="28" t="str">
        <x:v>W — ideal output power / assumed efficiency</x:v>
      </x:c>
    </x:row>
    <x:row r="12" ht="30" customHeight="1">
      <x:c r="A12" s="28" t="str">
        <x:v>At base efficiency: torque-constant current</x:v>
      </x:c>
      <x:c r="B12" s="28" t="n">
        <x:f>B10/Inputs!B15</x:f>
        <x:v>3.6364179889751167</x:v>
      </x:c>
      <x:c r="C12" s="28" t="str">
        <x:v>A — current screen; not controller thermal validation</x:v>
      </x:c>
    </x:row>
    <x:row r="13" ht="30" customHeight="1">
      <x:c r="A13" s="28" t="str">
        <x:v>Nominal spindle bending stress</x:v>
      </x:c>
      <x:c r="B13" s="28" t="n">
        <x:f>Calcs!C18</x:f>
        <x:v>7.228286998756913</x:v>
      </x:c>
      <x:c r="C13" s="28" t="str">
        <x:v>MPa — gravity-only, smooth shaft screen</x:v>
      </x:c>
    </x:row>
    <x:row r="14" ht="30" customHeight="1">
      <x:c r="A14" s="28" t="str">
        <x:v>Nominal combined von Mises stress</x:v>
      </x:c>
      <x:c r="B14" s="28" t="n">
        <x:f>Calcs!C20</x:f>
        <x:v>62.517286686809136</x:v>
      </x:c>
      <x:c r="C14" s="28" t="str">
        <x:v>MPa — excludes notches/fatigue/dynamics</x:v>
      </x:c>
    </x:row>
    <x:row r="15" ht="30" customHeight="1">
      <x:c r="A15" s="28" t="str">
        <x:v>Backlash endpoint arc</x:v>
      </x:c>
      <x:c r="B15" s="28" t="n">
        <x:f>Calcs!C22</x:f>
        <x:v>6.108652381980153</x:v>
      </x:c>
      <x:c r="C15" s="28" t="str">
        <x:v>mm — average no-load backlash at 350 mm radius</x:v>
      </x:c>
    </x:row>
    <x:row r="16" ht="30" customHeight="1">
      <x:c r="A16" s="28" t="str">
        <x:v>Package / engineering status</x:v>
      </x:c>
      <x:c r="B16" s="28" t="str">
        <x:v>Concept stage</x:v>
      </x:c>
      <x:c r="C16" s="28" t="str">
        <x:v>Not manufacturing-ready; open gates on Traceability and Risks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7" hidden="0" customWidth="1"/>
    <x:col min="4" max="4" width="67" hidden="0" customWidth="1"/>
  </x:cols>
  <x:sheetData>
    <x:row r="1" ht="28" customHeight="1">
      <x:c r="A1" s="5" t="str">
        <x:v>Editable Inputs &amp; Assumptions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Blue/teal input table values feed the calculation sheets. Orange values are design assumptions, not requirements.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20" t="str">
        <x:v>Parameter</x:v>
      </x:c>
      <x:c r="B4" s="20" t="str">
        <x:v>Value</x:v>
      </x:c>
      <x:c r="C4" s="20" t="str">
        <x:v>Unit</x:v>
      </x:c>
      <x:c r="D4" s="20" t="str">
        <x:v>Basis / caution</x:v>
      </x:c>
    </x:row>
    <x:row r="5">
      <x:c r="A5" s="28" t="str">
        <x:v>Payload mass</x:v>
      </x:c>
      <x:c r="B5" s="46" t="n">
        <x:v>1</x:v>
      </x:c>
      <x:c r="C5" s="28" t="str">
        <x:v>kg</x:v>
      </x:c>
      <x:c r="D5" s="28" t="str">
        <x:v>Specified in original challenge brief</x:v>
      </x:c>
    </x:row>
    <x:row r="6">
      <x:c r="A6" s="28" t="str">
        <x:v>Payload COM radius</x:v>
      </x:c>
      <x:c r="B6" s="46" t="n">
        <x:v>350</x:v>
      </x:c>
      <x:c r="C6" s="28" t="str">
        <x:v>mm</x:v>
      </x:c>
      <x:c r="D6" s="28" t="str">
        <x:v>Specified in original challenge brief</x:v>
      </x:c>
    </x:row>
    <x:row r="7">
      <x:c r="A7" s="28" t="str">
        <x:v>Forearm + hand mass</x:v>
      </x:c>
      <x:c r="B7" s="46" t="n">
        <x:v>1.5</x:v>
      </x:c>
      <x:c r="C7" s="28" t="str">
        <x:v>kg</x:v>
      </x:c>
      <x:c r="D7" s="28" t="str">
        <x:v>Specified in original challenge brief</x:v>
      </x:c>
    </x:row>
    <x:row r="8">
      <x:c r="A8" s="28" t="str">
        <x:v>Forearm + hand COM radius</x:v>
      </x:c>
      <x:c r="B8" s="46" t="n">
        <x:v>180</x:v>
      </x:c>
      <x:c r="C8" s="28" t="str">
        <x:v>mm</x:v>
      </x:c>
      <x:c r="D8" s="28" t="str">
        <x:v>Specified in original challenge brief</x:v>
      </x:c>
    </x:row>
    <x:row r="9">
      <x:c r="A9" s="28" t="str">
        <x:v>Gravity</x:v>
      </x:c>
      <x:c r="B9" s="46" t="n">
        <x:v>9.81</x:v>
      </x:c>
      <x:c r="C9" s="28" t="str">
        <x:v>m/s²</x:v>
      </x:c>
      <x:c r="D9" s="28" t="str">
        <x:v>Conventional engineering value</x:v>
      </x:c>
    </x:row>
    <x:row r="10">
      <x:c r="A10" s="28" t="str">
        <x:v>Output speed</x:v>
      </x:c>
      <x:c r="B10" s="46" t="n">
        <x:v>45</x:v>
      </x:c>
      <x:c r="C10" s="28" t="str">
        <x:v>RPM</x:v>
      </x:c>
      <x:c r="D10" s="28" t="str">
        <x:v>Specified in original challenge brief</x:v>
      </x:c>
    </x:row>
    <x:row r="11">
      <x:c r="A11" s="28" t="str">
        <x:v>Gear ratio</x:v>
      </x:c>
      <x:c r="B11" s="46" t="n">
        <x:v>91</x:v>
      </x:c>
      <x:c r="C11" s="28" t="str">
        <x:v>ratio</x:v>
      </x:c>
      <x:c r="D11" s="28" t="str">
        <x:v>Candidate GP 52 C; exact configuration open</x:v>
      </x:c>
    </x:row>
    <x:row r="12">
      <x:c r="A12" s="40" t="str">
        <x:v>Torque multiplier</x:v>
      </x:c>
      <x:c r="B12" s="47" t="n">
        <x:v>2</x:v>
      </x:c>
      <x:c r="C12" s="40" t="str">
        <x:v>× static</x:v>
      </x:c>
      <x:c r="D12" s="40" t="str">
        <x:v>ASSUMPTION; not a certified safety factor</x:v>
      </x:c>
    </x:row>
    <x:row r="13">
      <x:c r="A13" s="28" t="str">
        <x:v>Motor nominal speed</x:v>
      </x:c>
      <x:c r="B13" s="46" t="n">
        <x:v>4470</x:v>
      </x:c>
      <x:c r="C13" s="28" t="str">
        <x:v>RPM</x:v>
      </x:c>
      <x:c r="D13" s="28" t="str">
        <x:v>Candidate EC-i 52 part 579165 published data</x:v>
      </x:c>
    </x:row>
    <x:row r="14">
      <x:c r="A14" s="28" t="str">
        <x:v>Motor nominal torque</x:v>
      </x:c>
      <x:c r="B14" s="46" t="n">
        <x:v>0.423</x:v>
      </x:c>
      <x:c r="C14" s="28" t="str">
        <x:v>N·m</x:v>
      </x:c>
      <x:c r="D14" s="28" t="str">
        <x:v>Candidate published nominal data; loaded point open</x:v>
      </x:c>
    </x:row>
    <x:row r="15">
      <x:c r="A15" s="28" t="str">
        <x:v>Motor torque constant</x:v>
      </x:c>
      <x:c r="B15" s="46" t="n">
        <x:v>0.0919</x:v>
      </x:c>
      <x:c r="C15" s="28" t="str">
        <x:v>N·m/A</x:v>
      </x:c>
      <x:c r="D15" s="28" t="str">
        <x:v>Published candidate value; current screen only</x:v>
      </x:c>
    </x:row>
    <x:row r="16">
      <x:c r="A16" s="40" t="str">
        <x:v>Base reducer efficiency</x:v>
      </x:c>
      <x:c r="B16" s="47" t="n">
        <x:v>0.4</x:v>
      </x:c>
      <x:c r="C16" s="40" t="str">
        <x:v>fraction</x:v>
      </x:c>
      <x:c r="D16" s="40" t="str">
        <x:v>ASSUMPTION for screening; not a guaranteed value</x:v>
      </x:c>
    </x:row>
    <x:row r="17">
      <x:c r="A17" s="28" t="str">
        <x:v>Spindle diameter</x:v>
      </x:c>
      <x:c r="B17" s="46" t="n">
        <x:v>12</x:v>
      </x:c>
      <x:c r="C17" s="28" t="str">
        <x:v>mm</x:v>
      </x:c>
      <x:c r="D17" s="28" t="str">
        <x:v>Concept envelope, nominal; keyway details omitted</x:v>
      </x:c>
    </x:row>
    <x:row r="18">
      <x:c r="A18" s="28" t="str">
        <x:v>Bearing centre spacing</x:v>
      </x:c>
      <x:c r="B18" s="46" t="n">
        <x:v>50</x:v>
      </x:c>
      <x:c r="C18" s="28" t="str">
        <x:v>mm</x:v>
      </x:c>
      <x:c r="D18" s="28" t="str">
        <x:v>CAD-derived concept geometry</x:v>
      </x:c>
    </x:row>
    <x:row r="19">
      <x:c r="A19" s="28" t="str">
        <x:v>Load plane overhang</x:v>
      </x:c>
      <x:c r="B19" s="46" t="n">
        <x:v>50</x:v>
      </x:c>
      <x:c r="C19" s="28" t="str">
        <x:v>mm</x:v>
      </x:c>
      <x:c r="D19" s="28" t="str">
        <x:v>CAD-derived concept geometry</x:v>
      </x:c>
    </x:row>
    <x:row r="20">
      <x:c r="A20" s="28" t="str">
        <x:v>Bearing dynamic rating C</x:v>
      </x:c>
      <x:c r="B20" s="46" t="n">
        <x:v>7280</x:v>
      </x:c>
      <x:c r="C20" s="28" t="str">
        <x:v>N</x:v>
      </x:c>
      <x:c r="D20" s="28" t="str">
        <x:v>Candidate SKF 6201-2RSH catalogue value</x:v>
      </x:c>
    </x:row>
    <x:row r="21">
      <x:c r="A21" s="28" t="str">
        <x:v>Bearing static rating C0</x:v>
      </x:c>
      <x:c r="B21" s="46" t="n">
        <x:v>3100</x:v>
      </x:c>
      <x:c r="C21" s="28" t="str">
        <x:v>N</x:v>
      </x:c>
      <x:c r="D21" s="28" t="str">
        <x:v>Candidate SKF 6201-2RSH catalogue value</x:v>
      </x:c>
    </x:row>
    <x:row r="22">
      <x:c r="A22" s="28" t="str">
        <x:v>Average no-load backlash</x:v>
      </x:c>
      <x:c r="B22" s="46" t="n">
        <x:v>1</x:v>
      </x:c>
      <x:c r="C22" s="28" t="str">
        <x:v>degree</x:v>
      </x:c>
      <x:c r="D22" s="28" t="str">
        <x:v>Candidate GP52C catalogue average, not assembled joint error</x:v>
      </x:c>
    </x:row>
    <x:row r="23">
      <x:c r="A23" s="28" t="str">
        <x:v>Shaft candidate yield basis</x:v>
      </x:c>
      <x:c r="B23" s="46" t="n">
        <x:v>758</x:v>
      </x:c>
      <x:c r="C23" s="28" t="str">
        <x:v>MPa</x:v>
      </x:c>
      <x:c r="D23" s="28" t="str">
        <x:v>17-4PH supplier data screen; condition/certificate not frozen</x:v>
      </x:c>
    </x:row>
    <x:row r="24">
      <x:c r="A24" s="28" t="str">
        <x:v>Motor continuous current</x:v>
      </x:c>
      <x:c r="B24" s="46" t="n">
        <x:v>4.59</x:v>
      </x:c>
      <x:c r="C24" s="28" t="str">
        <x:v>A</x:v>
      </x:c>
      <x:c r="D24" s="28" t="str">
        <x:v>Candidate EC-i52 published value; current screen only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4" hidden="0" customWidth="1"/>
    <x:col min="3" max="3" width="16" hidden="0" customWidth="1"/>
    <x:col min="4" max="4" width="50" hidden="0" customWidth="1"/>
  </x:cols>
  <x:sheetData>
    <x:row r="1" ht="28" customHeight="1">
      <x:c r="A1" s="5" t="str">
        <x:v>Calculated Mechanics &amp; Drive Screens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Formulas are unit-labelled below. Inputs are linked from Inputs; structural results are simplified static screens only.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20" t="str">
        <x:v>Calculation</x:v>
      </x:c>
      <x:c r="B4" s="20" t="str">
        <x:v>Formula / linked expression</x:v>
      </x:c>
      <x:c r="C4" s="20" t="str">
        <x:v>Value</x:v>
      </x:c>
      <x:c r="D4" s="20" t="str">
        <x:v>Units / limit</x:v>
      </x:c>
    </x:row>
    <x:row r="5" ht="29" customHeight="1">
      <x:c r="A5" s="28" t="str">
        <x:v>Payload gravity torque</x:v>
      </x:c>
      <x:c r="B5" s="28" t="str">
        <x:v>m_payload × g × r_payload</x:v>
      </x:c>
      <x:c r="C5" s="50" t="n">
        <x:f>Inputs!B5*Inputs!B9*(Inputs!B6/1000)</x:f>
        <x:v>3.4335</x:v>
      </x:c>
      <x:c r="D5" s="28" t="str">
        <x:v>N·m</x:v>
      </x:c>
    </x:row>
    <x:row r="6" ht="29" customHeight="1">
      <x:c r="A6" s="28" t="str">
        <x:v>Forearm/hand gravity torque</x:v>
      </x:c>
      <x:c r="B6" s="28" t="str">
        <x:v>m_forearm × g × r_forearm</x:v>
      </x:c>
      <x:c r="C6" s="50" t="n">
        <x:f>Inputs!B7*Inputs!B9*(Inputs!B8/1000)</x:f>
        <x:v>2.6487</x:v>
      </x:c>
      <x:c r="D6" s="28" t="str">
        <x:v>N·m</x:v>
      </x:c>
    </x:row>
    <x:row r="7" ht="29" customHeight="1">
      <x:c r="A7" s="28" t="str">
        <x:v>Total static torque</x:v>
      </x:c>
      <x:c r="B7" s="28" t="str">
        <x:v>T_payload + T_forearm</x:v>
      </x:c>
      <x:c r="C7" s="50" t="n">
        <x:f>C5+C6</x:f>
        <x:v>6.0822</x:v>
      </x:c>
      <x:c r="D7" s="28" t="str">
        <x:v>N·m</x:v>
      </x:c>
    </x:row>
    <x:row r="8" ht="29" customHeight="1">
      <x:c r="A8" s="28" t="str">
        <x:v>Preliminary target torque</x:v>
      </x:c>
      <x:c r="B8" s="28" t="str">
        <x:v>T_static × assumed multiplier</x:v>
      </x:c>
      <x:c r="C8" s="50" t="n">
        <x:f>C7*Inputs!B12</x:f>
        <x:v>12.1644</x:v>
      </x:c>
      <x:c r="D8" s="28" t="str">
        <x:v>N·m; multiplier is not certified safety factor</x:v>
      </x:c>
    </x:row>
    <x:row r="9" ht="29" customHeight="1">
      <x:c r="A9" s="28" t="str">
        <x:v>Output angular velocity</x:v>
      </x:c>
      <x:c r="B9" s="28" t="str">
        <x:v>rpm × 2π / 60</x:v>
      </x:c>
      <x:c r="C9" s="50" t="n">
        <x:f>Inputs!B10*2*PI()/60</x:f>
        <x:v>4.71238898038469</x:v>
      </x:c>
      <x:c r="D9" s="28" t="str">
        <x:v>rad/s</x:v>
      </x:c>
    </x:row>
    <x:row r="10" ht="29" customHeight="1">
      <x:c r="A10" s="28" t="str">
        <x:v>Required motor speed</x:v>
      </x:c>
      <x:c r="B10" s="28" t="str">
        <x:v>output rpm × ratio</x:v>
      </x:c>
      <x:c r="C10" s="50" t="n">
        <x:f>Inputs!B10*Inputs!B11</x:f>
        <x:v>4095</x:v>
      </x:c>
      <x:c r="D10" s="28" t="str">
        <x:v>RPM; kinematic, loaded curve not verified</x:v>
      </x:c>
    </x:row>
    <x:row r="11" ht="29" customHeight="1">
      <x:c r="A11" s="28" t="str">
        <x:v>Nominal motor speed headroom</x:v>
      </x:c>
      <x:c r="B11" s="28" t="str">
        <x:v>motor nominal − required speed</x:v>
      </x:c>
      <x:c r="C11" s="50" t="n">
        <x:f>Inputs!B13-C10</x:f>
        <x:v>375</x:v>
      </x:c>
      <x:c r="D11" s="28" t="str">
        <x:v>RPM</x:v>
      </x:c>
    </x:row>
    <x:row r="12" ht="29" customHeight="1">
      <x:c r="A12" s="28" t="str">
        <x:v>Ideal output power at target</x:v>
      </x:c>
      <x:c r="B12" s="28" t="str">
        <x:v>target torque × angular velocity</x:v>
      </x:c>
      <x:c r="C12" s="50" t="n">
        <x:f>C8*C9</x:f>
        <x:v>57.323384512991524</x:v>
      </x:c>
      <x:c r="D12" s="28" t="str">
        <x:v>W before losses</x:v>
      </x:c>
    </x:row>
    <x:row r="13" ht="29" customHeight="1">
      <x:c r="A13" s="28" t="str">
        <x:v>Combined gravity force</x:v>
      </x:c>
      <x:c r="B13" s="28" t="str">
        <x:v>(payload + forearm/hand) × g</x:v>
      </x:c>
      <x:c r="C13" s="50" t="n">
        <x:f>(Inputs!B5+Inputs!B7)*Inputs!B9</x:f>
        <x:v>24.525000000000002</x:v>
      </x:c>
      <x:c r="D13" s="28" t="str">
        <x:v>N; omitted link masses/dynamics</x:v>
      </x:c>
    </x:row>
    <x:row r="14" ht="29" customHeight="1">
      <x:c r="A14" s="28" t="str">
        <x:v>Overhang bending moment</x:v>
      </x:c>
      <x:c r="B14" s="28" t="str">
        <x:v>force × overhang(mm) / 1000</x:v>
      </x:c>
      <x:c r="C14" s="50" t="n">
        <x:f>C13*Inputs!B19/1000</x:f>
        <x:v>1.22625</x:v>
      </x:c>
      <x:c r="D14" s="28" t="str">
        <x:v>N·m</x:v>
      </x:c>
    </x:row>
    <x:row r="15" ht="29" customHeight="1">
      <x:c r="A15" s="28" t="str">
        <x:v>Outboard/front reaction</x:v>
      </x:c>
      <x:c r="B15" s="28" t="str">
        <x:v>F × (1 + e/L)</x:v>
      </x:c>
      <x:c r="C15" s="50" t="n">
        <x:f>C13*(1+Inputs!B19/Inputs!B18)</x:f>
        <x:v>49.050000000000004</x:v>
      </x:c>
      <x:c r="D15" s="28" t="str">
        <x:v>N; ideal overhung two-support model</x:v>
      </x:c>
    </x:row>
    <x:row r="16" ht="29" customHeight="1">
      <x:c r="A16" s="28" t="str">
        <x:v>Inboard/rear reaction magnitude</x:v>
      </x:c>
      <x:c r="B16" s="28" t="str">
        <x:v>F × e/L</x:v>
      </x:c>
      <x:c r="C16" s="50" t="n">
        <x:f>C13*Inputs!B19/Inputs!B18</x:f>
        <x:v>24.525</x:v>
      </x:c>
      <x:c r="D16" s="28" t="str">
        <x:v>N; opposite direction in idealized model</x:v>
      </x:c>
    </x:row>
    <x:row r="17" ht="29" customHeight="1">
      <x:c r="A17" s="28" t="str">
        <x:v>Moment in N·mm</x:v>
      </x:c>
      <x:c r="B17" s="28" t="str">
        <x:v>M(N·m) × 1000</x:v>
      </x:c>
      <x:c r="C17" s="50" t="n">
        <x:f>C14*1000</x:f>
        <x:v>1226.25</x:v>
      </x:c>
      <x:c r="D17" s="28" t="str">
        <x:v>N·mm; explicit unit conversion</x:v>
      </x:c>
    </x:row>
    <x:row r="18" ht="29" customHeight="1">
      <x:c r="A18" s="28" t="str">
        <x:v>Nominal bending stress</x:v>
      </x:c>
      <x:c r="B18" s="28" t="str">
        <x:v>32 × M(N·mm) / (π × d³)</x:v>
      </x:c>
      <x:c r="C18" s="50" t="n">
        <x:f>32*C17/(PI()*Inputs!B17^3)</x:f>
        <x:v>7.228286998756913</x:v>
      </x:c>
      <x:c r="D18" s="28" t="str">
        <x:v>MPa; smooth solid shaft</x:v>
      </x:c>
    </x:row>
    <x:row r="19" ht="29" customHeight="1">
      <x:c r="A19" s="28" t="str">
        <x:v>Nominal torsional shear</x:v>
      </x:c>
      <x:c r="B19" s="28" t="str">
        <x:v>16 × T_target(N·m)×1000 / (π × d³)</x:v>
      </x:c>
      <x:c r="C19" s="50" t="n">
        <x:f>16*C8*1000/(PI()*Inputs!B17^3)</x:f>
        <x:v>35.85230351383429</x:v>
      </x:c>
      <x:c r="D19" s="28" t="str">
        <x:v>MPa; keyway omitted</x:v>
      </x:c>
    </x:row>
    <x:row r="20" ht="29" customHeight="1">
      <x:c r="A20" s="28" t="str">
        <x:v>Combined von Mises</x:v>
      </x:c>
      <x:c r="B20" s="28" t="str">
        <x:v>sqrt(σb² + 3τ²)</x:v>
      </x:c>
      <x:c r="C20" s="50" t="n">
        <x:f>SQRT(C18^2+3*C19^2)</x:f>
        <x:v>62.517286686809136</x:v>
      </x:c>
      <x:c r="D20" s="28" t="str">
        <x:v>MPa; nominal static only</x:v>
      </x:c>
    </x:row>
    <x:row r="21" ht="29" customHeight="1">
      <x:c r="A21" s="28" t="str">
        <x:v>Yield/stress quotient</x:v>
      </x:c>
      <x:c r="B21" s="28" t="str">
        <x:v>candidate yield basis / nominal von Mises</x:v>
      </x:c>
      <x:c r="C21" s="50" t="n">
        <x:f>Inputs!B23/C20</x:f>
        <x:v>12.124646480537912</x:v>
      </x:c>
      <x:c r="D21" s="28" t="str">
        <x:v>ratio; not a design factor</x:v>
      </x:c>
    </x:row>
    <x:row r="22" ht="29" customHeight="1">
      <x:c r="A22" s="28" t="str">
        <x:v>Backlash endpoint arc</x:v>
      </x:c>
      <x:c r="B22" s="28" t="str">
        <x:v>radius(mm) × backlash(deg) × π/180</x:v>
      </x:c>
      <x:c r="C22" s="50" t="n">
        <x:f>Inputs!B6*Inputs!B22*PI()/180</x:f>
        <x:v>6.108652381980153</x:v>
      </x:c>
      <x:c r="D22" s="28" t="str">
        <x:v>mm; no-load average only</x:v>
      </x:c>
    </x:row>
    <x:row r="23" ht="29" customHeight="1">
      <x:c r="A23" s="28" t="str">
        <x:v>Bearing dynamic-rating ratio</x:v>
      </x:c>
      <x:c r="B23" s="28" t="str">
        <x:v>C / front reaction</x:v>
      </x:c>
      <x:c r="C23" s="50" t="n">
        <x:f>Inputs!B20/C15</x:f>
        <x:v>148.41997961264016</x:v>
      </x:c>
      <x:c r="D23" s="28" t="str">
        <x:v>ratio; not bearing life</x:v>
      </x:c>
    </x:row>
    <x:row r="24" ht="29" customHeight="1">
      <x:c r="A24" s="28" t="str">
        <x:v>Bearing static-rating ratio</x:v>
      </x:c>
      <x:c r="B24" s="28" t="str">
        <x:v>C0 / front reaction</x:v>
      </x:c>
      <x:c r="C24" s="50" t="n">
        <x:f>Inputs!B21/C15</x:f>
        <x:v>63.20081549439347</x:v>
      </x:c>
      <x:c r="D24" s="28" t="str">
        <x:v>ratio; not a full static check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Reducer Efficiency Sensitivity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Efficiency values are scenario assumptions. Calculations use target output torque / (ratio × efficiency) and ideal output power / efficiency.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20" t="str">
        <x:v>Assumed efficiency</x:v>
      </x:c>
      <x:c r="B4" s="20" t="str">
        <x:v>Required motor torque (N·m)</x:v>
      </x:c>
      <x:c r="C4" s="20" t="str">
        <x:v>Input power screen (W)</x:v>
      </x:c>
      <x:c r="D4" s="20" t="str">
        <x:v>Current screen (A)</x:v>
      </x:c>
      <x:c r="E4" s="20" t="str">
        <x:v>Simple capacity reserve (N·m)</x:v>
      </x:c>
      <x:c r="F4" s="20" t="str">
        <x:v>Torque/current screen</x:v>
      </x:c>
      <x:c r="G4" s="20" t="str">
        <x:v>180 W label screen</x:v>
      </x:c>
    </x:row>
    <x:row r="5">
      <x:c r="A5" s="52" t="n">
        <x:v>0.75</x:v>
      </x:c>
      <x:c r="B5" s="54" t="n">
        <x:f>Calcs!C8/(Inputs!B11*A5)</x:f>
        <x:v>0.17823296703296704</x:v>
      </x:c>
      <x:c r="C5" s="54" t="n">
        <x:f>Calcs!C12/A5</x:f>
        <x:v>76.43117935065537</x:v>
      </x:c>
      <x:c r="D5" s="54" t="n">
        <x:f>B5/Inputs!B15</x:f>
        <x:v>1.9394229274533954</x:v>
      </x:c>
      <x:c r="E5" s="54" t="n">
        <x:f>MIN(Inputs!B14,Inputs!B15*Inputs!B24)-B5</x:f>
        <x:v>0.2435880329670329</x:v>
      </x:c>
      <x:c r="F5" s="56" t="str">
        <x:f>IF(B5&lt;=MIN(Inputs!B14,Inputs!B15*Inputs!B24),"PASS SCREEN","FAIL SCREEN")</x:f>
        <x:v>PASS SCREEN</x:v>
      </x:c>
      <x:c r="G5" s="56" t="str">
        <x:f>IF(C5&lt;=180,"WITHIN 180 W LABEL","OVER 180 W LABEL")</x:f>
        <x:v>WITHIN 180 W LABEL</x:v>
      </x:c>
    </x:row>
    <x:row r="6">
      <x:c r="A6" s="52" t="n">
        <x:v>0.6</x:v>
      </x:c>
      <x:c r="B6" s="54" t="n">
        <x:f>Calcs!C8/(Inputs!B11*A6)</x:f>
        <x:v>0.22279120879120878</x:v>
      </x:c>
      <x:c r="C6" s="54" t="n">
        <x:f>Calcs!C12/A6</x:f>
        <x:v>95.53897418831922</x:v>
      </x:c>
      <x:c r="D6" s="54" t="n">
        <x:f>B6/Inputs!B15</x:f>
        <x:v>2.424278659316744</x:v>
      </x:c>
      <x:c r="E6" s="54" t="n">
        <x:f>MIN(Inputs!B14,Inputs!B15*Inputs!B24)-B6</x:f>
        <x:v>0.19902979120879116</x:v>
      </x:c>
      <x:c r="F6" s="56" t="str">
        <x:f>IF(B6&lt;=MIN(Inputs!B14,Inputs!B15*Inputs!B24),"PASS SCREEN","FAIL SCREEN")</x:f>
        <x:v>PASS SCREEN</x:v>
      </x:c>
      <x:c r="G6" s="56" t="str">
        <x:f>IF(C6&lt;=180,"WITHIN 180 W LABEL","OVER 180 W LABEL")</x:f>
        <x:v>WITHIN 180 W LABEL</x:v>
      </x:c>
    </x:row>
    <x:row r="7">
      <x:c r="A7" s="52" t="n">
        <x:v>0.5</x:v>
      </x:c>
      <x:c r="B7" s="54" t="n">
        <x:f>Calcs!C8/(Inputs!B11*A7)</x:f>
        <x:v>0.2673494505494506</x:v>
      </x:c>
      <x:c r="C7" s="54" t="n">
        <x:f>Calcs!C12/A7</x:f>
        <x:v>114.64676902598305</x:v>
      </x:c>
      <x:c r="D7" s="54" t="n">
        <x:f>B7/Inputs!B15</x:f>
        <x:v>2.9091343911800935</x:v>
      </x:c>
      <x:c r="E7" s="54" t="n">
        <x:f>MIN(Inputs!B14,Inputs!B15*Inputs!B24)-B7</x:f>
        <x:v>0.15447154945054936</x:v>
      </x:c>
      <x:c r="F7" s="56" t="str">
        <x:f>IF(B7&lt;=MIN(Inputs!B14,Inputs!B15*Inputs!B24),"PASS SCREEN","FAIL SCREEN")</x:f>
        <x:v>PASS SCREEN</x:v>
      </x:c>
      <x:c r="G7" s="56" t="str">
        <x:f>IF(C7&lt;=180,"WITHIN 180 W LABEL","OVER 180 W LABEL")</x:f>
        <x:v>WITHIN 180 W LABEL</x:v>
      </x:c>
    </x:row>
    <x:row r="8">
      <x:c r="A8" s="52" t="n">
        <x:v>0.4</x:v>
      </x:c>
      <x:c r="B8" s="54" t="n">
        <x:f>Calcs!C8/(Inputs!B11*A8)</x:f>
        <x:v>0.3341868131868132</x:v>
      </x:c>
      <x:c r="C8" s="54" t="n">
        <x:f>Calcs!C12/A8</x:f>
        <x:v>143.3084612824788</x:v>
      </x:c>
      <x:c r="D8" s="54" t="n">
        <x:f>B8/Inputs!B15</x:f>
        <x:v>3.6364179889751167</x:v>
      </x:c>
      <x:c r="E8" s="54" t="n">
        <x:f>MIN(Inputs!B14,Inputs!B15*Inputs!B24)-B8</x:f>
        <x:v>0.08763418681318674</x:v>
      </x:c>
      <x:c r="F8" s="56" t="str">
        <x:f>IF(B8&lt;=MIN(Inputs!B14,Inputs!B15*Inputs!B24),"PASS SCREEN","FAIL SCREEN")</x:f>
        <x:v>PASS SCREEN</x:v>
      </x:c>
      <x:c r="G8" s="56" t="str">
        <x:f>IF(C8&lt;=180,"WITHIN 180 W LABEL","OVER 180 W LABEL")</x:f>
        <x:v>WITHIN 180 W LABEL</x:v>
      </x:c>
    </x:row>
    <x:row r="9">
      <x:c r="A9" s="52" t="n">
        <x:v>0.35</x:v>
      </x:c>
      <x:c r="B9" s="54" t="n">
        <x:f>Calcs!C8/(Inputs!B11*A9)</x:f>
        <x:v>0.3819277864992151</x:v>
      </x:c>
      <x:c r="C9" s="54" t="n">
        <x:f>Calcs!C12/A9</x:f>
        <x:v>163.7810986085472</x:v>
      </x:c>
      <x:c r="D9" s="54" t="n">
        <x:f>B9/Inputs!B15</x:f>
        <x:v>4.155906273114419</x:v>
      </x:c>
      <x:c r="E9" s="54" t="n">
        <x:f>MIN(Inputs!B14,Inputs!B15*Inputs!B24)-B9</x:f>
        <x:v>0.03989321350078484</x:v>
      </x:c>
      <x:c r="F9" s="56" t="str">
        <x:f>IF(B9&lt;=MIN(Inputs!B14,Inputs!B15*Inputs!B24),"PASS SCREEN","FAIL SCREEN")</x:f>
        <x:v>PASS SCREEN</x:v>
      </x:c>
      <x:c r="G9" s="56" t="str">
        <x:f>IF(C9&lt;=180,"WITHIN 180 W LABEL","OVER 180 W LABEL")</x:f>
        <x:v>WITHIN 180 W LABEL</x:v>
      </x:c>
    </x:row>
    <x:row r="10">
      <x:c r="A10" s="52" t="n">
        <x:v>0.32</x:v>
      </x:c>
      <x:c r="B10" s="54" t="n">
        <x:f>Calcs!C8/(Inputs!B11*A10)</x:f>
        <x:v>0.4177335164835165</x:v>
      </x:c>
      <x:c r="C10" s="54" t="n">
        <x:f>Calcs!C12/A10</x:f>
        <x:v>179.1355766030985</x:v>
      </x:c>
      <x:c r="D10" s="54" t="n">
        <x:f>B10/Inputs!B15</x:f>
        <x:v>4.545522486218895</x:v>
      </x:c>
      <x:c r="E10" s="54" t="n">
        <x:f>MIN(Inputs!B14,Inputs!B15*Inputs!B24)-B10</x:f>
        <x:v>0.00408748351648347</x:v>
      </x:c>
      <x:c r="F10" s="56" t="str">
        <x:f>IF(B10&lt;=MIN(Inputs!B14,Inputs!B15*Inputs!B24),"PASS SCREEN","FAIL SCREEN")</x:f>
        <x:v>PASS SCREEN</x:v>
      </x:c>
      <x:c r="G10" s="56" t="str">
        <x:f>IF(C10&lt;=180,"WITHIN 180 W LABEL","OVER 180 W LABEL")</x:f>
        <x:v>WITHIN 180 W LABEL</x:v>
      </x:c>
    </x:row>
    <x:row r="11">
      <x:c r="A11" s="52" t="n">
        <x:v>0.3</x:v>
      </x:c>
      <x:c r="B11" s="54" t="n">
        <x:f>Calcs!C8/(Inputs!B11*A11)</x:f>
        <x:v>0.44558241758241757</x:v>
      </x:c>
      <x:c r="C11" s="54" t="n">
        <x:f>Calcs!C12/A11</x:f>
        <x:v>191.07794837663843</x:v>
      </x:c>
      <x:c r="D11" s="54" t="n">
        <x:f>B11/Inputs!B15</x:f>
        <x:v>4.848557318633488</x:v>
      </x:c>
      <x:c r="E11" s="54" t="n">
        <x:f>MIN(Inputs!B14,Inputs!B15*Inputs!B24)-B11</x:f>
        <x:v>-0.02376141758241762</x:v>
      </x:c>
      <x:c r="F11" s="56" t="str">
        <x:f>IF(B11&lt;=MIN(Inputs!B14,Inputs!B15*Inputs!B24),"PASS SCREEN","FAIL SCREEN")</x:f>
        <x:v>FAIL SCREEN</x:v>
      </x:c>
      <x:c r="G11" s="56" t="str">
        <x:f>IF(C11&lt;=180,"WITHIN 180 W LABEL","OVER 180 W LABEL")</x:f>
        <x:v>OVER 180 W LABEL</x:v>
      </x:c>
    </x:row>
    <x:row r="13">
      <x:c r="A13" s="61" t="str">
        <x:v>Interpretation: this is a first-order ratio/efficiency screen only. It is not a loaded motor torque-speed curve, validated motor power rating, gearbox loss model, thermal prediction, or duty-cycle analysis. Actual vendor curves and configured stack are required.</x:v>
      </x:c>
      <x:c r="B13" s="61"/>
      <x:c r="C13" s="61"/>
      <x:c r="D13" s="61"/>
      <x:c r="E13" s="61"/>
      <x:c r="F13" s="61"/>
      <x:c r="G13" s="61"/>
    </x:row>
    <x:row r="14">
      <x:c r="A14" s="61"/>
      <x:c r="B14" s="61"/>
      <x:c r="C14" s="61"/>
      <x:c r="D14" s="61"/>
      <x:c r="E14" s="61"/>
      <x:c r="F14" s="61"/>
      <x:c r="G14" s="61"/>
    </x:row>
    <x:row r="15">
      <x:c r="A15" s="61"/>
      <x:c r="B15" s="61"/>
      <x:c r="C15" s="61"/>
      <x:c r="D15" s="61"/>
      <x:c r="E15" s="61"/>
      <x:c r="F15" s="61"/>
      <x:c r="G15" s="61"/>
    </x:row>
  </x:sheetData>
  <x:mergeCells>
    <x:mergeCell ref="A1:H1"/>
    <x:mergeCell ref="A2:H2"/>
    <x:mergeCell ref="A13:G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BOM — candidate, custom concept, conditional and TBD parts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Item</x:v>
      </x:c>
      <x:c r="B4" s="66" t="str">
        <x:v>Component</x:v>
      </x:c>
      <x:c r="C4" s="66" t="str">
        <x:v>Qty</x:v>
      </x:c>
      <x:c r="D4" s="66" t="str">
        <x:v>Proposed specification</x:v>
      </x:c>
      <x:c r="E4" s="66" t="str">
        <x:v>Status</x:v>
      </x:c>
      <x:c r="F4" s="66" t="str">
        <x:v>Design notes / closure</x:v>
      </x:c>
    </x:row>
    <x:row r="5" ht="45" customHeight="1">
      <x:c r="A5" s="67" t="str">
        <x:v>1</x:v>
      </x:c>
      <x:c r="B5" s="67" t="str">
        <x:v>BLDC/PMSM motor</x:v>
      </x:c>
      <x:c r="C5" s="67" t="str">
        <x:v>1</x:v>
      </x:c>
      <x:c r="D5" s="67" t="str">
        <x:v>maxon EC-i 52, 48 V, part 579165</x:v>
      </x:c>
      <x:c r="E5" s="67" t="str">
        <x:v>Candidate catalogue item</x:v>
      </x:c>
      <x:c r="F5" s="67" t="str">
        <x:v>Manufacturer product page lists 180 W class, 4470 rpm and 0.423 N m nominal torque; the nominal pair implies about 198 W by Tω arithmetic.</x:v>
      </x:c>
    </x:row>
    <x:row r="6" ht="45" customHeight="1">
      <x:c r="A6" s="67" t="str">
        <x:v>2</x:v>
      </x:c>
      <x:c r="B6" s="67" t="str">
        <x:v>Planetary gearhead</x:v>
      </x:c>
      <x:c r="C6" s="67" t="str">
        <x:v>1</x:v>
      </x:c>
      <x:c r="D6" s="67" t="str">
        <x:v>maxon GP 52 C, 91:1, part 223094</x:v>
      </x:c>
      <x:c r="E6" s="67" t="str">
        <x:v>Candidate catalogue item; configured as part of drive combination</x:v>
      </x:c>
      <x:c r="F6" s="67" t="str">
        <x:v>30 N m continuous, 45 N m intermittent and up to 75% efficiency catalogue values; verify actual stack, duty and efficiency.</x:v>
      </x:c>
    </x:row>
    <x:row r="7" ht="45" customHeight="1">
      <x:c r="A7" s="67" t="str">
        <x:v>3</x:v>
      </x:c>
      <x:c r="B7" s="67" t="str">
        <x:v>Motor encoder</x:v>
      </x:c>
      <x:c r="C7" s="67" t="str">
        <x:v>1</x:v>
      </x:c>
      <x:c r="D7" s="67" t="str">
        <x:v>maxon ENX 16 EASY06, 512 CPT catalog configuration candidate</x:v>
      </x:c>
      <x:c r="E7" s="67" t="str">
        <x:v>Configurable component</x:v>
      </x:c>
      <x:c r="F7" s="67" t="str">
        <x:v>Exact encoder/motor/gearhead order configuration must be confirmed; motor-side feedback does not remove output backlash.</x:v>
      </x:c>
    </x:row>
    <x:row r="8" ht="45" customHeight="1">
      <x:c r="A8" s="67" t="str">
        <x:v>4</x:v>
      </x:c>
      <x:c r="B8" s="67" t="str">
        <x:v>Servo controller</x:v>
      </x:c>
      <x:c r="C8" s="67" t="str">
        <x:v>1</x:v>
      </x:c>
      <x:c r="D8" s="67" t="str">
        <x:v>maxon EPOS4 Disk 60/8 CAN, part 688770</x:v>
      </x:c>
      <x:c r="E8" s="67" t="str">
        <x:v>Candidate</x:v>
      </x:c>
      <x:c r="F8" s="67" t="str">
        <x:v>12-60 VDC; 8 A continuous / 24 A peak (&lt;10 s) in hardware documentation; thermal/current/regen integration to be checked.</x:v>
      </x:c>
    </x:row>
    <x:row r="9" ht="45" customHeight="1">
      <x:c r="A9" s="67" t="str">
        <x:v>5</x:v>
      </x:c>
      <x:c r="B9" s="67" t="str">
        <x:v>Deep-groove sealed bearings</x:v>
      </x:c>
      <x:c r="C9" s="67" t="str">
        <x:v>2</x:v>
      </x:c>
      <x:c r="D9" s="67" t="str">
        <x:v>SKF 6201-2RSH, 12 x 32 x 10 mm</x:v>
      </x:c>
      <x:c r="E9" s="67" t="str">
        <x:v>Catalogue item candidate</x:v>
      </x:c>
      <x:c r="F9" s="67" t="str">
        <x:v>Fit, oscillatory duty, life, axial load, alignment and housing tolerances remain open.</x:v>
      </x:c>
    </x:row>
    <x:row r="10" ht="45" customHeight="1">
      <x:c r="A10" s="67" t="str">
        <x:v>6</x:v>
      </x:c>
      <x:c r="B10" s="67" t="str">
        <x:v>Flexible coupling spider and two hubs</x:v>
      </x:c>
      <x:c r="C10" s="67" t="str">
        <x:v>1</x:v>
      </x:c>
      <x:c r="D10" s="67" t="str">
        <x:v>KTR ROTEX GS size 19 with 98 Shore A spider</x:v>
      </x:c>
      <x:c r="E10" s="67" t="str">
        <x:v>Candidate; hub bores/variants not selected</x:v>
      </x:c>
      <x:c r="F10" s="67" t="str">
        <x:v>Manufacturer lists 21 N m rated spider torque for size 19/98 ShA; application service factor, maximum speed, torsional stiffness, misalignment, shaft bores/keying and hub styles must be verified.</x:v>
      </x:c>
    </x:row>
    <x:row r="11" ht="45" customHeight="1">
      <x:c r="A11" s="67" t="str">
        <x:v>7</x:v>
      </x:c>
      <x:c r="B11" s="67" t="str">
        <x:v>Independent output spindle</x:v>
      </x:c>
      <x:c r="C11" s="67" t="str">
        <x:v>1</x:v>
      </x:c>
      <x:c r="D11" s="67" t="str">
        <x:v>Custom concept, nominal 12 mm bearing journal and 12 mm output interface envelope</x:v>
      </x:c>
      <x:c r="E11" s="67" t="str">
        <x:v>Original design concept</x:v>
      </x:c>
      <x:c r="F11" s="67" t="str">
        <x:v>Material/heat-treatment, shoulders, keyway, retention, fit, runout, fatigue and detailed drawing are not frozen.</x:v>
      </x:c>
    </x:row>
    <x:row r="12" ht="45" customHeight="1">
      <x:c r="A12" s="67" t="str">
        <x:v>8</x:v>
      </x:c>
      <x:c r="B12" s="67" t="str">
        <x:v>Parallel key / drive interface</x:v>
      </x:c>
      <x:c r="C12" s="67" t="str">
        <x:v>1</x:v>
      </x:c>
      <x:c r="D12" s="67" t="str">
        <x:v>DIN 6885-A 4 x 4 x 20 mm at GP52 output interface</x:v>
      </x:c>
      <x:c r="E12" s="67" t="str">
        <x:v>Interface identified from maxon drawing; final key TBD</x:v>
      </x:c>
      <x:c r="F12" s="67" t="str">
        <x:v>Confirm exact KTR hub style, bore/keyway and engagement. Nominal stresses are screening only.</x:v>
      </x:c>
    </x:row>
    <x:row r="13" ht="45" customHeight="1">
      <x:c r="A13" s="67" t="str">
        <x:v>9</x:v>
      </x:c>
      <x:c r="B13" s="67" t="str">
        <x:v>Split-yoke bearing carrier</x:v>
      </x:c>
      <x:c r="C13" s="67" t="str">
        <x:v>1</x:v>
      </x:c>
      <x:c r="D13" s="67" t="str">
        <x:v>90 x 90 x 82 mm envelope, two halves/cap, 50 mm bearing centres</x:v>
      </x:c>
      <x:c r="E13" s="67" t="str">
        <x:v>Original concept</x:v>
      </x:c>
      <x:c r="F13" s="67" t="str">
        <x:v>Material assumed; bearing fits, cap bolts, stiffness and stress not validated.</x:v>
      </x:c>
    </x:row>
    <x:row r="14" ht="45" customHeight="1">
      <x:c r="A14" s="67" t="str">
        <x:v>10</x:v>
      </x:c>
      <x:c r="B14" s="67" t="str">
        <x:v>Carrier cap screws</x:v>
      </x:c>
      <x:c r="C14" s="67" t="str">
        <x:v>4</x:v>
      </x:c>
      <x:c r="D14" s="67" t="str">
        <x:v>M6 concept fasteners</x:v>
      </x:c>
      <x:c r="E14" s="67" t="str">
        <x:v>Illustrative only</x:v>
      </x:c>
      <x:c r="F14" s="67" t="str">
        <x:v>Length, grade, engagement, preload, locking and tightening procedure TBD.</x:v>
      </x:c>
    </x:row>
    <x:row r="15" ht="45" customHeight="1">
      <x:c r="A15" s="67" t="str">
        <x:v>11</x:v>
      </x:c>
      <x:c r="B15" s="67" t="str">
        <x:v>Output flange</x:v>
      </x:c>
      <x:c r="C15" s="67" t="str">
        <x:v>1</x:v>
      </x:c>
      <x:c r="D15" s="67" t="str">
        <x:v>About 76 mm diameter, 4 x M5 concept pattern on 50 mm PCD</x:v>
      </x:c>
      <x:c r="E15" s="67" t="str">
        <x:v>Original concept</x:v>
      </x:c>
      <x:c r="F15" s="67" t="str">
        <x:v>Material/thickness/bolt checks and actual coupling/alignment constraints TBD.</x:v>
      </x:c>
    </x:row>
    <x:row r="16" ht="45" customHeight="1">
      <x:c r="A16" s="67" t="str">
        <x:v>12</x:v>
      </x:c>
      <x:c r="B16" s="67" t="str">
        <x:v>Forearm root mount plate</x:v>
      </x:c>
      <x:c r="C16" s="67" t="str">
        <x:v>1</x:v>
      </x:c>
      <x:c r="D16" s="67" t="str">
        <x:v>100 x 8 x 62 mm simplified bracket envelope</x:v>
      </x:c>
      <x:c r="E16" s="67" t="str">
        <x:v>Original concept geometry</x:v>
      </x:c>
      <x:c r="F16" s="67" t="str">
        <x:v>Bridge between flange face and forearm envelope; bolt pattern, root stiffness, stress and detailed assembly are not validated.</x:v>
      </x:c>
    </x:row>
    <x:row r="17" ht="45" customHeight="1">
      <x:c r="A17" s="67" t="str">
        <x:v>13</x:v>
      </x:c>
      <x:c r="B17" s="67" t="str">
        <x:v>Forearm link</x:v>
      </x:c>
      <x:c r="C17" s="67" t="str">
        <x:v>1</x:v>
      </x:c>
      <x:c r="D17" s="67" t="str">
        <x:v>350 mm illustrative CAD envelope; assigned forearm/hand mass 1.5 kg</x:v>
      </x:c>
      <x:c r="E17" s="67" t="str">
        <x:v>Original concept geometry</x:v>
      </x:c>
      <x:c r="F17" s="67" t="str">
        <x:v>CAD geometry does not imply verified mass, inertia or COM. Source COM remains 180 mm.</x:v>
      </x:c>
    </x:row>
    <x:row r="18" ht="45" customHeight="1">
      <x:c r="A18" s="67" t="str">
        <x:v>14</x:v>
      </x:c>
      <x:c r="B18" s="67" t="str">
        <x:v>Upper-arm link</x:v>
      </x:c>
      <x:c r="C18" s="67" t="str">
        <x:v>1</x:v>
      </x:c>
      <x:c r="D18" s="67" t="str">
        <x:v>300 mm illustrative CAD envelope</x:v>
      </x:c>
      <x:c r="E18" s="67" t="str">
        <x:v>Original concept geometry</x:v>
      </x:c>
      <x:c r="F18" s="67" t="str">
        <x:v>Shoulder interface omitted from the assignment-scale model; loads/support need integration if expanded.</x:v>
      </x:c>
    </x:row>
    <x:row r="19" ht="45" customHeight="1">
      <x:c r="A19" s="67" t="str">
        <x:v>15</x:v>
      </x:c>
      <x:c r="B19" s="67" t="str">
        <x:v>Wrist/payload interface</x:v>
      </x:c>
      <x:c r="C19" s="67" t="str">
        <x:v>1</x:v>
      </x:c>
      <x:c r="D19" s="67" t="str">
        <x:v>Simplified interface envelope at payload end</x:v>
      </x:c>
      <x:c r="E19" s="67" t="str">
        <x:v>Original concept geometry</x:v>
      </x:c>
      <x:c r="F19" s="67" t="str">
        <x:v>Payload mounting and retention details TBD.</x:v>
      </x:c>
    </x:row>
    <x:row r="20" ht="45" customHeight="1">
      <x:c r="A20" s="67" t="str">
        <x:v>16</x:v>
      </x:c>
      <x:c r="B20" s="67" t="str">
        <x:v>48 VDC supply and bus protection</x:v>
      </x:c>
      <x:c r="C20" s="67" t="str">
        <x:v>1</x:v>
      </x:c>
      <x:c r="D20" s="67" t="str">
        <x:v>Supply/current/regen rating to be selected from duty profile</x:v>
      </x:c>
      <x:c r="E20" s="67" t="str">
        <x:v>System requirement, not selected</x:v>
      </x:c>
      <x:c r="F20" s="67" t="str">
        <x:v>Need continuous and peak current, braking-energy sink, regenerative bus rise, fuse/connector/wire sizing.</x:v>
      </x:c>
    </x:row>
    <x:row r="21" ht="45" customHeight="1">
      <x:c r="A21" s="67" t="str">
        <x:v>17</x:v>
      </x:c>
      <x:c r="B21" s="67" t="str">
        <x:v>Normally-engaged brake</x:v>
      </x:c>
      <x:c r="C21" s="67" t="str">
        <x:v>Conditional</x:v>
      </x:c>
      <x:c r="D21" s="67" t="str">
        <x:v>Not selected; hold torque/duty to be specified if power-loss holding is required</x:v>
      </x:c>
      <x:c r="E21" s="67" t="str">
        <x:v>Open safety requirement</x:v>
      </x:c>
      <x:c r="F21" s="67" t="str">
        <x:v>Assignment does not specify safe hold behavior. Supervised concept baseline must remain externally supported when de-energized; no unattended hold is claimed.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Component Research &amp; Official References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Item</x:v>
      </x:c>
      <x:c r="B4" s="66" t="str">
        <x:v>Candidate / model</x:v>
      </x:c>
      <x:c r="C4" s="66" t="str">
        <x:v>Status</x:v>
      </x:c>
      <x:c r="D4" s="66" t="str">
        <x:v>Verified or assumed values</x:v>
      </x:c>
      <x:c r="E4" s="66" t="str">
        <x:v>Limitations / open verification</x:v>
      </x:c>
      <x:c r="F4" s="66" t="str">
        <x:v>Reference</x:v>
      </x:c>
    </x:row>
    <x:row r="5" ht="45" customHeight="1">
      <x:c r="A5" s="67" t="str">
        <x:v>Motor</x:v>
      </x:c>
      <x:c r="B5" s="67" t="str">
        <x:v>maxon EC-i 52 48 V, part 579165</x:v>
      </x:c>
      <x:c r="C5" s="67" t="str">
        <x:v>Candidate catalogue item</x:v>
      </x:c>
      <x:c r="D5" s="67" t="str">
        <x:v>48 V nominal; 4470 rpm nominal; 0.423 N m nominal/max continuous torque; 4.59 A continuous current; Kt 0.0919 N m/A; no-load speed 4950 rpm; published speed/torque gradient 0.321 rpm/mNm. Product page calls it 180 W class.</x:v>
      </x:c>
      <x:c r="E5" s="67" t="str">
        <x:v>Nominal Tω arithmetic is about 198 W versus 180 W class label; ask maxon to clarify the applicable operating/rating point. Maxon support notes EC-i iron-winding motors do not have one constant linear speed/torque gradient, so do not extrapolate the 0.321 value as a straight-line slope.</x:v>
      </x:c>
      <x:c r="F5" s="67" t="str">
        <x:v>https://www.maxongroup.com/maxon/view/product/motor/ecmotor/EC-i/579165</x:v>
      </x:c>
    </x:row>
    <x:row r="6" ht="45" customHeight="1">
      <x:c r="A6" s="67" t="str">
        <x:v>Gearhead</x:v>
      </x:c>
      <x:c r="B6" s="67" t="str">
        <x:v>maxon GP 52 C, 91:1, part 223094</x:v>
      </x:c>
      <x:c r="C6" s="67" t="str">
        <x:v>Candidate; exact stack not frozen</x:v>
      </x:c>
      <x:c r="D6" s="67" t="str">
        <x:v>91:1; 30 N m max continuous torque; 45 N m intermittent; maximum efficiency 75%; average no-load backlash 1 degree; 78.5 mm length; 6000 rpm max continuous input speed; max transmitted continuous power 210 W.</x:v>
      </x:c>
      <x:c r="E6" s="67" t="str">
        <x:v>Gears are configured as a drive combination. Confirm exact order code, efficiency at operating point, duty, interface, backlash and rated configuration.</x:v>
      </x:c>
      <x:c r="F6" s="67" t="str">
        <x:v>https://www.maxongroup.com/maxon/view/product/gear/planetary/gp52/223094</x:v>
      </x:c>
    </x:row>
    <x:row r="7" ht="45" customHeight="1">
      <x:c r="A7" s="67" t="str">
        <x:v>Encoder</x:v>
      </x:c>
      <x:c r="B7" s="67" t="str">
        <x:v>maxon ENX 16 EASY06</x:v>
      </x:c>
      <x:c r="C7" s="67" t="str">
        <x:v>Candidate configurable component</x:v>
      </x:c>
      <x:c r="D7" s="67" t="str">
        <x:v>Catalog listing shows 512 CPT, three channels, differential RS422 line driver and max 8.5 mm housing length.</x:v>
      </x:c>
      <x:c r="E7" s="67" t="str">
        <x:v>Exact configured component, connector and compatibility with selected motor/gearhead/controller must be confirmed; motor-side sensing cannot directly measure downstream backlash.</x:v>
      </x:c>
      <x:c r="F7" s="67" t="str">
        <x:v>https://www.maxongroup.com/maxon/view/product/sensor/encoder/Magnetische-Encoder/ENX16EASY/ENX16EASY06</x:v>
      </x:c>
    </x:row>
    <x:row r="8" ht="45" customHeight="1">
      <x:c r="A8" s="67" t="str">
        <x:v>Controller</x:v>
      </x:c>
      <x:c r="B8" s="67" t="str">
        <x:v>maxon EPOS4 Disk 60/8 CAN, part 688770</x:v>
      </x:c>
      <x:c r="C8" s="67" t="str">
        <x:v>Candidate</x:v>
      </x:c>
      <x:c r="D8" s="67" t="str">
        <x:v>12-60 VDC; 8 A continuous and 24 A peak &lt;10 s; supports EC motors with Hall signals and incremental encoder inputs; includes position/speed/current controller modes.</x:v>
      </x:c>
      <x:c r="E8" s="67" t="str">
        <x:v>The controller rating does not determine motor thermal capacity. Check regeneration, bus clamping, thermal derating, I/O and selected sensor signals.</x:v>
      </x:c>
      <x:c r="F8" s="67" t="str">
        <x:v>https://www.maxongroup.com/maxon/view/product/control/Positionierung/688770</x:v>
      </x:c>
    </x:row>
    <x:row r="9" ht="45" customHeight="1">
      <x:c r="A9" s="67" t="str">
        <x:v>Bearings</x:v>
      </x:c>
      <x:c r="B9" s="67" t="str">
        <x:v>SKF 6201-2RSH, quantity 2</x:v>
      </x:c>
      <x:c r="C9" s="67" t="str">
        <x:v>Candidate catalogue item</x:v>
      </x:c>
      <x:c r="D9" s="67" t="str">
        <x:v>12 x 32 x 10 mm; basic dynamic rating 7.28 kN; basic static rating 3.1 kN; published limiting speed 15000 rpm.</x:v>
      </x:c>
      <x:c r="E9" s="67" t="str">
        <x:v>Confirm correct current product data, oscillating/low-speed service, axial loads, fit, alignment, lubrication and L10 life.</x:v>
      </x:c>
      <x:c r="F9" s="67" t="str">
        <x:v>https://www.skf.com/products/rolling-bearings/ball-bearings/deep-groove-ball-bearings/productid-6201-2RSH</x:v>
      </x:c>
    </x:row>
    <x:row r="10" ht="45" customHeight="1">
      <x:c r="A10" s="67" t="str">
        <x:v>Flexible coupling</x:v>
      </x:c>
      <x:c r="B10" s="67" t="str">
        <x:v>KTR ROTEX GS size 19, 98 Shore A spider</x:v>
      </x:c>
      <x:c r="C10" s="67" t="str">
        <x:v>Candidate, hubs TBD</x:v>
      </x:c>
      <x:c r="D10" s="67" t="str">
        <x:v>KTR instructions list rated spider torque 21 N m; maximum coupling torque is specified separately from rated torque.</x:v>
      </x:c>
      <x:c r="E10" s="67" t="str">
        <x:v>For servo/robotic reversals, verify service factor, rated peak/continuous torque, hub bore/shaft fit, max speed, torsional stiffness, misalignment, backlash and assembly method.</x:v>
      </x:c>
      <x:c r="F10" s="67" t="str">
        <x:v>https://www.ktr.com/fileadmin/ktr/media/Manuals/45510en000000.pdf</x:v>
      </x:c>
    </x:row>
    <x:row r="11" ht="45" customHeight="1">
      <x:c r="A11" s="67" t="str">
        <x:v>Output spindle</x:v>
      </x:c>
      <x:c r="B11" s="67" t="str">
        <x:v>Original concept, nominal 12 mm bearing journals</x:v>
      </x:c>
      <x:c r="C11" s="67" t="str">
        <x:v>Assumed concept geometry</x:v>
      </x:c>
      <x:c r="D11" s="67" t="str">
        <x:v>Independent spindle supported in two spaced bearings; nominal torque transferred by flexible coupling and flange.</x:v>
      </x:c>
      <x:c r="E11" s="67" t="str">
        <x:v>Material/cert, keyed/coupling interface, shoulders, grooves, fits, stress concentration, fatigue, stiffness and retention to be detailed.</x:v>
      </x:c>
      <x:c r="F11" s="67" t="str">
        <x:v>Original concept, not externally verified</x:v>
      </x:c>
    </x:row>
    <x:row r="12" ht="45" customHeight="1">
      <x:c r="A12" s="67" t="str">
        <x:v>Shaft material</x:v>
      </x:c>
      <x:c r="B12" s="67" t="str">
        <x:v>17-4PH stainless stock candidate</x:v>
      </x:c>
      <x:c r="C12" s="67" t="str">
        <x:v>Material assumption</x:v>
      </x:c>
      <x:c r="D12" s="67" t="str">
        <x:v>Supplier information used to screen a 758 MPa (110 ksi) minimum yield basis for a specified material condition.</x:v>
      </x:c>
      <x:c r="E12" s="67" t="str">
        <x:v>The actual alloy condition/certificate is not fixed. Do not assign this strength to an unverified part; keyway/fatigue/environment also matter.</x:v>
      </x:c>
      <x:c r="F12" s="67" t="str">
        <x:v>https://www.voestalpine.com/specialtymetals/nam/en/materials/17-4ph/</x:v>
      </x:c>
    </x:row>
    <x:row r="13" ht="45" customHeight="1">
      <x:c r="A13" s="67" t="str">
        <x:v>Brake/power-loss hold</x:v>
      </x:c>
      <x:c r="B13" s="67" t="str">
        <x:v>None selected in concept baseline</x:v>
      </x:c>
      <x:c r="C13" s="67" t="str">
        <x:v>Open requirement</x:v>
      </x:c>
      <x:c r="D13" s="67" t="str">
        <x:v>Assignment does not define holding after power loss.</x:v>
      </x:c>
      <x:c r="E13" s="67" t="str">
        <x:v>Before unattended use, conduct safety analysis and define whether a normally engaged fail-safe brake or other holding solution is mandatory; select it only after actual load/duty criteria.</x:v>
      </x:c>
      <x:c r="F13" s="67" t="str">
        <x:v>Open requirement from brief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Original Brief Requirement Traceability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Source section / requirement</x:v>
      </x:c>
      <x:c r="B4" s="66" t="str">
        <x:v>Required item</x:v>
      </x:c>
      <x:c r="C4" s="66" t="str">
        <x:v>Evidence in release</x:v>
      </x:c>
      <x:c r="D4" s="66" t="str">
        <x:v>Status</x:v>
      </x:c>
      <x:c r="E4" s="66" t="str">
        <x:v>Residual note</x:v>
      </x:c>
    </x:row>
    <x:row r="5" ht="45" customHeight="1">
      <x:c r="A5" s="67" t="str">
        <x:v>1 Problem statement</x:v>
      </x:c>
      <x:c r="B5" s="67" t="str">
        <x:v>Conceptual elbow actuator integrated in simplified arm</x:v>
      </x:c>
      <x:c r="C5" s="67" t="str">
        <x:v>STEP assembly, concept drawing, report</x:v>
      </x:c>
      <x:c r="D5" s="67" t="str">
        <x:v>Complete at concept scope</x:v>
      </x:c>
      <x:c r="E5" s="67" t="str">
        <x:v>Not manufacturing-ready; physical prototype expressly not required.</x:v>
      </x:c>
    </x:row>
    <x:row r="6" ht="45" customHeight="1">
      <x:c r="A6" s="67" t="str">
        <x:v>2 Design inputs</x:v>
      </x:c>
      <x:c r="B6" s="67" t="str">
        <x:v>Payload 1 kg / forearm-hand 1.5 kg / offsets 350 mm &amp; 180 mm / 45 rpm / BLDC-PMSM / planetary preferred / encoder / equivalent CAD</x:v>
      </x:c>
      <x:c r="C6" s="67" t="str">
        <x:v>Calculations.csv, Component_Research.csv, CAD and report</x:v>
      </x:c>
      <x:c r="D6" s="67" t="str">
        <x:v>Complete with assumptions identified</x:v>
      </x:c>
      <x:c r="E6" s="67" t="str">
        <x:v>Dynamic profile, accuracy, duty cycle, link mass and power-loss hold not specified.</x:v>
      </x:c>
    </x:row>
    <x:row r="7" ht="45" customHeight="1">
      <x:c r="A7" s="67" t="str">
        <x:v>3A Basic sizing</x:v>
      </x:c>
      <x:c r="B7" s="67" t="str">
        <x:v>Static torque; preliminary target and margin; motor speed/reduction; commercial motor+gearhead references</x:v>
      </x:c>
      <x:c r="C7" s="67" t="str">
        <x:v>Calculations.csv, Efficiency_Sensitivity.csv, report refs</x:v>
      </x:c>
      <x:c r="D7" s="67" t="str">
        <x:v>Complete as preliminary calculation</x:v>
      </x:c>
      <x:c r="E7" s="67" t="str">
        <x:v>2x is assumption; vendor operating point/orderable stack remains conditional.</x:v>
      </x:c>
    </x:row>
    <x:row r="8" ht="45" customHeight="1">
      <x:c r="A8" s="67" t="str">
        <x:v>3B Mechanical concept/CAD</x:v>
      </x:c>
      <x:c r="B8" s="67" t="str">
        <x:v>Motor, gearbox, output shaft, bearing support, housing, forearm attachment</x:v>
      </x:c>
      <x:c r="C8" s="67" t="str">
        <x:v>STEP + builder source + FreeCAD macro</x:v>
      </x:c>
      <x:c r="D8" s="67" t="str">
        <x:v>Complete as conceptual neutral CAD</x:v>
      </x:c>
      <x:c r="E8" s="67" t="str">
        <x:v>Exact vendor solids/clearance/tolerances are not represented; native FCStd not created in this runtime.</x:v>
      </x:c>
    </x:row>
    <x:row r="9" ht="45" customHeight="1">
      <x:c r="A9" s="67" t="str">
        <x:v>3B Simplified arm</x:v>
      </x:c>
      <x:c r="B9" s="67" t="str">
        <x:v>Upper arm, forearm, wrist or payload interface</x:v>
      </x:c>
      <x:c r="C9" s="67" t="str">
        <x:v>STEP and artwork</x:v>
      </x:c>
      <x:c r="D9" s="67" t="str">
        <x:v>Complete concept envelope</x:v>
      </x:c>
      <x:c r="E9" s="67" t="str">
        <x:v>Link lengths are illustrative; masses/COM are not inferred from CAD.</x:v>
      </x:c>
    </x:row>
    <x:row r="10" ht="45" customHeight="1">
      <x:c r="A10" s="67" t="str">
        <x:v>3B Load path / assembly access</x:v>
      </x:c>
      <x:c r="B10" s="67" t="str">
        <x:v>Plausible load path and maintenance consideration</x:v>
      </x:c>
      <x:c r="C10" s="67" t="str">
        <x:v>Assembly drawing + report + gap plan</x:v>
      </x:c>
      <x:c r="D10" s="67" t="str">
        <x:v>Conceptual service sequence described; implementation not verified</x:v>
      </x:c>
      <x:c r="E10" s="67" t="str">
        <x:v>Detail bearing retention, removable-cap retention, cable routing, fastener/tool reach, service sequence and collision review in detailed CAD. Current envelope model does not prove these.</x:v>
      </x:c>
    </x:row>
    <x:row r="11" ht="45" customHeight="1">
      <x:c r="A11" s="67" t="str">
        <x:v>3B Drawing</x:v>
      </x:c>
      <x:c r="B11" s="67" t="str">
        <x:v>Assembly drawing or clearly labelled CAD view</x:v>
      </x:c>
      <x:c r="C11" s="67" t="str">
        <x:v>K_EL01_Concept_Drawing.pdf/.svg/.png</x:v>
      </x:c>
      <x:c r="D11" s="67" t="str">
        <x:v>Complete</x:v>
      </x:c>
      <x:c r="E11" s="67" t="str">
        <x:v>Concept artwork, not dimensioned manufacturing drawing.</x:v>
      </x:c>
    </x:row>
    <x:row r="12" ht="45" customHeight="1">
      <x:c r="A12" s="67" t="str">
        <x:v>3C Design note</x:v>
      </x:c>
      <x:c r="B12" s="67" t="str">
        <x:v>Assumptions and design decisions</x:v>
      </x:c>
      <x:c r="C12" s="67" t="str">
        <x:v>Main report and QA review</x:v>
      </x:c>
      <x:c r="D12" s="67" t="str">
        <x:v>Complete</x:v>
      </x:c>
      <x:c r="E12" s="67" t="str">
        <x:v>Design assumptions explicitly labelled.</x:v>
      </x:c>
    </x:row>
    <x:row r="13" ht="45" customHeight="1">
      <x:c r="A13" s="67" t="str">
        <x:v>3C BOM</x:v>
      </x:c>
      <x:c r="B13" s="67" t="str">
        <x:v>Main components, quantities and model where known</x:v>
      </x:c>
      <x:c r="C13" s="67" t="str">
        <x:v>BOM.csv and workbook</x:v>
      </x:c>
      <x:c r="D13" s="67" t="str">
        <x:v>Complete at concept level</x:v>
      </x:c>
      <x:c r="E13" s="67" t="str">
        <x:v>Custom fasteners/materials and configured hub/drive order codes remain TBD.</x:v>
      </x:c>
    </x:row>
    <x:row r="14" ht="45" customHeight="1">
      <x:c r="A14" s="67" t="str">
        <x:v>3C Risk</x:v>
      </x:c>
      <x:c r="B14" s="67" t="str">
        <x:v>Two important risks and mitigations</x:v>
      </x:c>
      <x:c r="C14" s="67" t="str">
        <x:v>Report, Risk_Register.csv, QA review</x:v>
      </x:c>
      <x:c r="D14" s="67" t="str">
        <x:v>Complete; expanded beyond two</x:v>
      </x:c>
      <x:c r="E14" s="67" t="str">
        <x:v>Risk mitigations are plans, not completed validation.</x:v>
      </x:c>
    </x:row>
    <x:row r="15" ht="45" customHeight="1">
      <x:c r="A15" s="67" t="str">
        <x:v>4 Q1</x:v>
      </x:c>
      <x:c r="B15" s="67" t="str">
        <x:v>Torque adequate but output speed low</x:v>
      </x:c>
      <x:c r="C15" s="67" t="str">
        <x:v>Main report and talk track</x:v>
      </x:c>
      <x:c r="D15" s="67" t="str">
        <x:v>Answered</x:v>
      </x:c>
      <x:c r="E15" s="67" t="str">
        <x:v>Check loaded motor curve, drive limit, ratio trade-off.</x:v>
      </x:c>
    </x:row>
    <x:row r="16" ht="45" customHeight="1">
      <x:c r="A16" s="67" t="str">
        <x:v>4 Q2</x:v>
      </x:c>
      <x:c r="B16" s="67" t="str">
        <x:v>Static pass but repeated movement overheats</x:v>
      </x:c>
      <x:c r="C16" s="67" t="str">
        <x:v>Main report and test plan</x:v>
      </x:c>
      <x:c r="D16" s="67" t="str">
        <x:v>Answered</x:v>
      </x:c>
      <x:c r="E16" s="67" t="str">
        <x:v>Require duty cycle and thermals before closing.</x:v>
      </x:c>
    </x:row>
    <x:row r="17" ht="45" customHeight="1">
      <x:c r="A17" s="67" t="str">
        <x:v>4 Q3</x:v>
      </x:c>
      <x:c r="B17" s="67" t="str">
        <x:v>Gearbox torque rating vs bending load</x:v>
      </x:c>
      <x:c r="C17" s="67" t="str">
        <x:v>Main report, load path, calculations</x:v>
      </x:c>
      <x:c r="D17" s="67" t="str">
        <x:v>Answered</x:v>
      </x:c>
      <x:c r="E17" s="67" t="str">
        <x:v>Support bearings route radial load; residual gearhead load and alignment need checks.</x:v>
      </x:c>
    </x:row>
    <x:row r="18" ht="45" customHeight="1">
      <x:c r="A18" s="67" t="str">
        <x:v>4 Q4</x:v>
      </x:c>
      <x:c r="B18" s="67" t="str">
        <x:v>Two additional requirements to clarify</x:v>
      </x:c>
      <x:c r="C18" s="67" t="str">
        <x:v>Main report and supplier/project question list</x:v>
      </x:c>
      <x:c r="D18" s="67" t="str">
        <x:v>Answered</x:v>
      </x:c>
      <x:c r="E18" s="67" t="str">
        <x:v>Duty/motion profile and accuracy/backlash/holding requirements prioritized.</x:v>
      </x:c>
    </x:row>
    <x:row r="19" ht="45" customHeight="1">
      <x:c r="A19" s="67" t="str">
        <x:v>4 Q5</x:v>
      </x:c>
      <x:c r="B19" s="67" t="str">
        <x:v>Cost vs backlash</x:v>
      </x:c>
      <x:c r="C19" s="67" t="str">
        <x:v>Main report and artwork</x:v>
      </x:c>
      <x:c r="D19" s="67" t="str">
        <x:v>Answered</x:v>
      </x:c>
      <x:c r="E19" s="67" t="str">
        <x:v>1 degree average no-load figure implies about 6.1 mm arc at 350 mm; system error differs.</x:v>
      </x:c>
    </x:row>
    <x:row r="20" ht="45" customHeight="1">
      <x:c r="A20" s="67" t="str">
        <x:v>4 Q6</x:v>
      </x:c>
      <x:c r="B20" s="67" t="str">
        <x:v>Assumption that might be wrong and test</x:v>
      </x:c>
      <x:c r="C20" s="67" t="str">
        <x:v>Main report and validation plan</x:v>
      </x:c>
      <x:c r="D20" s="67" t="str">
        <x:v>Answered</x:v>
      </x:c>
      <x:c r="E20" s="67" t="str">
        <x:v>2x static factor may not cover dynamics/impact; use inertia model and supervised test plan.</x:v>
      </x:c>
    </x:row>
    <x:row r="21" ht="45" customHeight="1">
      <x:c r="A21" s="67" t="str">
        <x:v>5 Draft artwork</x:v>
      </x:c>
      <x:c r="B21" s="67" t="str">
        <x:v>Isometric view, enlarged actuator, labels, load path, dimensions, torque/speed callout, trade-off</x:v>
      </x:c>
      <x:c r="C21" s="67" t="str">
        <x:v>Landscape artwork SVG/PDF/PNG</x:v>
      </x:c>
      <x:c r="D21" s="67" t="str">
        <x:v>Complete</x:v>
      </x:c>
      <x:c r="E21" s="67" t="str">
        <x:v>Not a production drawing.</x:v>
      </x:c>
    </x:row>
    <x:row r="22" ht="45" customHeight="1">
      <x:c r="A22" s="67" t="str">
        <x:v>6 Package</x:v>
      </x:c>
      <x:c r="B22" s="67" t="str">
        <x:v>Calculation sheet</x:v>
      </x:c>
      <x:c r="C22" s="67" t="str">
        <x:v>Calculations.csv + workbook</x:v>
      </x:c>
      <x:c r="D22" s="67" t="str">
        <x:v>Complete</x:v>
      </x:c>
      <x:c r="E22" s="67" t="str">
        <x:v>Spreadsheet values include formula/units caveats.</x:v>
      </x:c>
    </x:row>
    <x:row r="23" ht="45" customHeight="1">
      <x:c r="A23" s="67" t="str">
        <x:v>6 Package</x:v>
      </x:c>
      <x:c r="B23" s="67" t="str">
        <x:v>Component selection with official references</x:v>
      </x:c>
      <x:c r="C23" s="67" t="str">
        <x:v>Component_Research.csv + report</x:v>
      </x:c>
      <x:c r="D23" s="67" t="str">
        <x:v>Complete as candidate selection</x:v>
      </x:c>
      <x:c r="E23" s="67" t="str">
        <x:v>Exact configured system remains open.</x:v>
      </x:c>
    </x:row>
    <x:row r="24" ht="45" customHeight="1">
      <x:c r="A24" s="67" t="str">
        <x:v>6 Package</x:v>
      </x:c>
      <x:c r="B24" s="67" t="str">
        <x:v>CAD files</x:v>
      </x:c>
      <x:c r="C24" s="67" t="str">
        <x:v>STEP + CadQuery builder + FreeCAD macro</x:v>
      </x:c>
      <x:c r="D24" s="67" t="str">
        <x:v>Complete via neutral CAD / source</x:v>
      </x:c>
      <x:c r="E24" s="67" t="str">
        <x:v>Native FreeCAD file must be saved/tested by running macro in FreeCAD if desired.</x:v>
      </x:c>
    </x:row>
    <x:row r="25" ht="45" customHeight="1">
      <x:c r="A25" s="67" t="str">
        <x:v>6 Package</x:v>
      </x:c>
      <x:c r="B25" s="67" t="str">
        <x:v>Drawing</x:v>
      </x:c>
      <x:c r="C25" s="67" t="str">
        <x:v>Concept drawing PDF/SVG/PNG</x:v>
      </x:c>
      <x:c r="D25" s="67" t="str">
        <x:v>Complete</x:v>
      </x:c>
      <x:c r="E25" s="67" t="str">
        <x:v>Assembly concept view.</x:v>
      </x:c>
    </x:row>
    <x:row r="26" ht="45" customHeight="1">
      <x:c r="A26" s="67" t="str">
        <x:v>6 Package</x:v>
      </x:c>
      <x:c r="B26" s="67" t="str">
        <x:v>Draft artwork</x:v>
      </x:c>
      <x:c r="C26" s="67" t="str">
        <x:v>Concept drawing PDF/SVG/PNG</x:v>
      </x:c>
      <x:c r="D26" s="67" t="str">
        <x:v>Complete</x:v>
      </x:c>
      <x:c r="E26" s="67" t="str">
        <x:v>Same page serves as labeled assembly and concept artwork.</x:v>
      </x:c>
    </x:row>
    <x:row r="27" ht="45" customHeight="1">
      <x:c r="A27" s="67" t="str">
        <x:v>6 Package</x:v>
      </x:c>
      <x:c r="B27" s="67" t="str">
        <x:v>BOM</x:v>
      </x:c>
      <x:c r="C27" s="67" t="str">
        <x:v>BOM.csv + workbook</x:v>
      </x:c>
      <x:c r="D27" s="67" t="str">
        <x:v>Complete</x:v>
      </x:c>
      <x:c r="E27" s="67" t="str">
        <x:v>No purchasing or manufacturing.</x:v>
      </x:c>
    </x:row>
    <x:row r="28" ht="45" customHeight="1">
      <x:c r="A28" s="67" t="str">
        <x:v>6 Package</x:v>
      </x:c>
      <x:c r="B28" s="67" t="str">
        <x:v>Short 3-5 page report</x:v>
      </x:c>
      <x:c r="C28" s="67" t="str">
        <x:v>Kritva_K_EL01_Design_Report.pdf/.docx</x:v>
      </x:c>
      <x:c r="D28" s="67" t="str">
        <x:v>Complete 3 pages within 3-5 page range</x:v>
      </x:c>
      <x:c r="E28" s="67" t="str">
        <x:v>Final render inspected after revision.</x:v>
      </x:c>
    </x:row>
    <x:row r="29" ht="45" customHeight="1">
      <x:c r="A29" s="67" t="str">
        <x:v>7 Scope constraints</x:v>
      </x:c>
      <x:c r="B29" s="67" t="str">
        <x:v>No physical prototype/purchases; no manufacturing-ready claim; assumptions separate</x:v>
      </x:c>
      <x:c r="C29" s="67" t="str">
        <x:v>README, report, gate register</x:v>
      </x:c>
      <x:c r="D29" s="67" t="str">
        <x:v>Compliant</x:v>
      </x:c>
      <x:c r="E29" s="67" t="str">
        <x:v>No prototype or purchases performed.</x:v>
      </x:c>
    </x:row>
    <x:row r="30" ht="45" customHeight="1">
      <x:c r="A30" s="67" t="str">
        <x:v>8 Final review</x:v>
      </x:c>
      <x:c r="B30" s="67" t="str">
        <x:v>10-minute presentation + 10-minute technical discussion</x:v>
      </x:c>
      <x:c r="C30" s="67" t="str">
        <x:v>Presentation.pptx/.pdf + speaker script/Q&amp;A</x:v>
      </x:c>
      <x:c r="D30" s="67" t="str">
        <x:v>Now supplied</x:v>
      </x:c>
      <x:c r="E30" s="67" t="str">
        <x:v>Practice timing and tailor to interviewer.</x:v>
      </x:c>
    </x:row>
    <x:row r="31" ht="45" customHeight="1">
      <x:c r="A31" s="67" t="str">
        <x:v>9 Evaluation criteria</x:v>
      </x:c>
      <x:c r="B31" s="67" t="str">
        <x:v>Evidence across calculations, component selection, CAD, critical thinking, artwork, organization</x:v>
      </x:c>
      <x:c r="C31" s="67" t="str">
        <x:v>Release set + traceability + QA review</x:v>
      </x:c>
      <x:c r="D31" s="67" t="str">
        <x:v>Coverage mapped</x:v>
      </x:c>
      <x:c r="E31" s="67" t="str">
        <x:v>Technical validation remains at concept level.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Risk Register and Mitigations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ID</x:v>
      </x:c>
      <x:c r="B4" s="66" t="str">
        <x:v>Risk</x:v>
      </x:c>
      <x:c r="C4" s="66" t="str">
        <x:v>Likelihood</x:v>
      </x:c>
      <x:c r="D4" s="66" t="str">
        <x:v>Severity</x:v>
      </x:c>
      <x:c r="E4" s="66" t="str">
        <x:v>Current control</x:v>
      </x:c>
      <x:c r="F4" s="66" t="str">
        <x:v>Evidence / trigger</x:v>
      </x:c>
      <x:c r="G4" s="66" t="str">
        <x:v>Mitigation / next action</x:v>
      </x:c>
      <x:c r="H4" s="66" t="str">
        <x:v>Status</x:v>
      </x:c>
    </x:row>
    <x:row r="5" ht="45" customHeight="1">
      <x:c r="A5" s="67" t="str">
        <x:v>R01</x:v>
      </x:c>
      <x:c r="B5" s="67" t="str">
        <x:v>Insufficient dynamic/thermal margin</x:v>
      </x:c>
      <x:c r="C5" s="67" t="str">
        <x:v>High</x:v>
      </x:c>
      <x:c r="D5" s="67" t="str">
        <x:v>High</x:v>
      </x:c>
      <x:c r="E5" s="67" t="str">
        <x:v>2x static target and efficiency sensitivity only</x:v>
      </x:c>
      <x:c r="F5" s="67" t="str">
        <x:v>Duty profile absent; efficiency below ~35% leaves thin simplified reserve</x:v>
      </x:c>
      <x:c r="G5" s="67" t="str">
        <x:v>Define motion profile; compute reflected inertia, peak/RMS torque, motor copper losses, reducer heat; confirm with maxon; representative cycle test later</x:v>
      </x:c>
      <x:c r="H5" s="67" t="str">
        <x:v>Open input/validation</x:v>
      </x:c>
    </x:row>
    <x:row r="6" ht="45" customHeight="1">
      <x:c r="A6" s="67" t="str">
        <x:v>R02</x:v>
      </x:c>
      <x:c r="B6" s="67" t="str">
        <x:v>Output speed is below 45 rpm under load</x:v>
      </x:c>
      <x:c r="C6" s="67" t="str">
        <x:v>Medium</x:v>
      </x:c>
      <x:c r="D6" s="67" t="str">
        <x:v>High</x:v>
      </x:c>
      <x:c r="E6" s="67" t="str">
        <x:v>4095 rpm required vs 4470 rpm motor nominal</x:v>
      </x:c>
      <x:c r="F6" s="67" t="str">
        <x:v>Only 375 rpm nominal headroom</x:v>
      </x:c>
      <x:c r="G6" s="67" t="str">
        <x:v>Obtain loaded torque-speed curve and voltage/temperature points; evaluate lower ratio or faster motor if necessary without losing torque</x:v>
      </x:c>
      <x:c r="H6" s="67" t="str">
        <x:v>Open vendor confirmation</x:v>
      </x:c>
    </x:row>
    <x:row r="7" ht="45" customHeight="1">
      <x:c r="A7" s="67" t="str">
        <x:v>R03</x:v>
      </x:c>
      <x:c r="B7" s="67" t="str">
        <x:v>Motor power-rating / curve interpretation</x:v>
      </x:c>
      <x:c r="C7" s="67" t="str">
        <x:v>Medium</x:v>
      </x:c>
      <x:c r="D7" s="67" t="str">
        <x:v>Medium</x:v>
      </x:c>
      <x:c r="E7" s="67" t="str">
        <x:v>Catalog values and arithmetic recorded; Maxon support explains EC-i iron-winding speed/torque behavior is nonlinear</x:v>
      </x:c>
      <x:c r="F7" s="67" t="str">
        <x:v>0.423 N m × 4470 rpm implies ~198 W versus 180 W class label; the listed gradient is not a constant slope across speed</x:v>
      </x:c>
      <x:c r="G7" s="67" t="str">
        <x:v>Ask manufacturer to confirm rating point and provide the applicable curve/thermal operating point; do not invent a reconciliation or extrapolate one gradient</x:v>
      </x:c>
      <x:c r="H7" s="67" t="str">
        <x:v>Open vendor question</x:v>
      </x:c>
    </x:row>
    <x:row r="8" ht="45" customHeight="1">
      <x:c r="A8" s="67" t="str">
        <x:v>R04</x:v>
      </x:c>
      <x:c r="B8" s="67" t="str">
        <x:v>Gearhead efficiency / exact stack underperforms</x:v>
      </x:c>
      <x:c r="C8" s="67" t="str">
        <x:v>Medium</x:v>
      </x:c>
      <x:c r="D8" s="67" t="str">
        <x:v>High</x:v>
      </x:c>
      <x:c r="E8" s="67" t="str">
        <x:v>Maximum-efficiency case and sensitivity documented</x:v>
      </x:c>
      <x:c r="F8" s="67" t="str">
        <x:v>75% is maximum, not guaranteed</x:v>
      </x:c>
      <x:c r="G8" s="67" t="str">
        <x:v>Confirm configured combination, loaded efficiency, thermal and intermittent/continuous limits</x:v>
      </x:c>
      <x:c r="H8" s="67" t="str">
        <x:v>Open vendor question</x:v>
      </x:c>
    </x:row>
    <x:row r="9" ht="45" customHeight="1">
      <x:c r="A9" s="67" t="str">
        <x:v>R05</x:v>
      </x:c>
      <x:c r="B9" s="67" t="str">
        <x:v>Coupling hub/torque service factor inadequate</x:v>
      </x:c>
      <x:c r="C9" s="67" t="str">
        <x:v>Medium</x:v>
      </x:c>
      <x:c r="D9" s="67" t="str">
        <x:v>High</x:v>
      </x:c>
      <x:c r="E9" s="67" t="str">
        <x:v>KTR ROTEX GS size19 98 ShA rating reference</x:v>
      </x:c>
      <x:c r="F9" s="67" t="str">
        <x:v>Rated spider torque 21 Nm vs 12.164 Nm design target; hub not selected</x:v>
      </x:c>
      <x:c r="G9" s="67" t="str">
        <x:v>Check servo duty/reversals, peak torque, bore/key style, max speed, torsional stiffness, misalignment and coupling service factor</x:v>
      </x:c>
      <x:c r="H9" s="67" t="str">
        <x:v>Open vendor/design</x:v>
      </x:c>
    </x:row>
    <x:row r="10" ht="45" customHeight="1">
      <x:c r="A10" s="67" t="str">
        <x:v>R06</x:v>
      </x:c>
      <x:c r="B10" s="67" t="str">
        <x:v>Output shaft fatigue/notch or deflection failure</x:v>
      </x:c>
      <x:c r="C10" s="67" t="str">
        <x:v>Medium</x:v>
      </x:c>
      <x:c r="D10" s="67" t="str">
        <x:v>High</x:v>
      </x:c>
      <x:c r="E10" s="67" t="str">
        <x:v>Nominal bending + torsion + key screen</x:v>
      </x:c>
      <x:c r="F10" s="67" t="str">
        <x:v>Material condition, keyway, shoulder, retention and cycles not frozen</x:v>
      </x:c>
      <x:c r="G10" s="67" t="str">
        <x:v>Detailed shaft drawing; material certificate; stress concentration/fatigue/deflection calculations and FEA as warranted</x:v>
      </x:c>
      <x:c r="H10" s="67" t="str">
        <x:v>Open detailed design</x:v>
      </x:c>
    </x:row>
    <x:row r="11" ht="45" customHeight="1">
      <x:c r="A11" s="67" t="str">
        <x:v>R07</x:v>
      </x:c>
      <x:c r="B11" s="67" t="str">
        <x:v>Bearing life/fit/misalignment issue</x:v>
      </x:c>
      <x:c r="C11" s="67" t="str">
        <x:v>Medium</x:v>
      </x:c>
      <x:c r="D11" s="67" t="str">
        <x:v>High</x:v>
      </x:c>
      <x:c r="E11" s="67" t="str">
        <x:v>Two spaced 6201-2RSH candidates and ideal reactions calculated</x:v>
      </x:c>
      <x:c r="F11" s="67" t="str">
        <x:v>No duty/oscillation/axial load/fits</x:v>
      </x:c>
      <x:c r="G11" s="67" t="str">
        <x:v>Compute modified bearing life, oscillatory damage, fit/clearance, axial loads, shaft alignment and housing stiffness</x:v>
      </x:c>
      <x:c r="H11" s="67" t="str">
        <x:v>Open detailed design</x:v>
      </x:c>
    </x:row>
    <x:row r="12" ht="45" customHeight="1">
      <x:c r="A12" s="67" t="str">
        <x:v>R08</x:v>
      </x:c>
      <x:c r="B12" s="67" t="str">
        <x:v>Backlash exceeds positioning needs</x:v>
      </x:c>
      <x:c r="C12" s="67" t="str">
        <x:v>High</x:v>
      </x:c>
      <x:c r="D12" s="67" t="str">
        <x:v>Medium</x:v>
      </x:c>
      <x:c r="E12" s="67" t="str">
        <x:v>1 degree average no-load; ~6.1 mm arc at 350 mm</x:v>
      </x:c>
      <x:c r="F12" s="67" t="str">
        <x:v>Accuracy specification absent</x:v>
      </x:c>
      <x:c r="G12" s="67" t="str">
        <x:v>Obtain position accuracy/stiffness/reversal requirements; assess output sensor, compensation or lower-backlash gearbox</x:v>
      </x:c>
      <x:c r="H12" s="67" t="str">
        <x:v>Open requirement</x:v>
      </x:c>
    </x:row>
    <x:row r="13" ht="45" customHeight="1">
      <x:c r="A13" s="67" t="str">
        <x:v>R09</x:v>
      </x:c>
      <x:c r="B13" s="67" t="str">
        <x:v>Joint moves/falls on power loss</x:v>
      </x:c>
      <x:c r="C13" s="67" t="str">
        <x:v>Unknown</x:v>
      </x:c>
      <x:c r="D13" s="67" t="str">
        <x:v>High</x:v>
      </x:c>
      <x:c r="E13" s="67" t="str">
        <x:v>Supervised concept only; no brake claimed selected</x:v>
      </x:c>
      <x:c r="F13" s="67" t="str">
        <x:v>Safe state not specified</x:v>
      </x:c>
      <x:c r="G13" s="67" t="str">
        <x:v>Define safe state and risk; add rated normally-engaged brake or other proven hold architecture if required; verify stop/holding energy</x:v>
      </x:c>
      <x:c r="H13" s="67" t="str">
        <x:v>Safety gate</x:v>
      </x:c>
    </x:row>
    <x:row r="14" ht="45" customHeight="1">
      <x:c r="A14" s="67" t="str">
        <x:v>R10</x:v>
      </x:c>
      <x:c r="B14" s="67" t="str">
        <x:v>Interference/service access/cable conflicts</x:v>
      </x:c>
      <x:c r="C14" s="67" t="str">
        <x:v>Medium</x:v>
      </x:c>
      <x:c r="D14" s="67" t="str">
        <x:v>Medium</x:v>
      </x:c>
      <x:c r="E14" s="67" t="str">
        <x:v>Envelope CAD + removable carrier cap + root plate concept</x:v>
      </x:c>
      <x:c r="F14" s="67" t="str">
        <x:v>No exact vendor CAD, cable route or tolerance stack</x:v>
      </x:c>
      <x:c r="G14" s="67" t="str">
        <x:v>Import exact vendor models, assemble constraints, collision sweep, verify fastener access and removal path</x:v>
      </x:c>
      <x:c r="H14" s="67" t="str">
        <x:v>Open CAD review</x:v>
      </x:c>
    </x:row>
    <x:row r="15" ht="45" customHeight="1">
      <x:c r="A15" s="67" t="str">
        <x:v>R11</x:v>
      </x:c>
      <x:c r="B15" s="67" t="str">
        <x:v>Bus overvoltage from regeneration</x:v>
      </x:c>
      <x:c r="C15" s="67" t="str">
        <x:v>Medium</x:v>
      </x:c>
      <x:c r="D15" s="67" t="str">
        <x:v>High</x:v>
      </x:c>
      <x:c r="E15" s="67" t="str">
        <x:v>Controller candidate supports brake control, but supply unselected</x:v>
      </x:c>
      <x:c r="F15" s="67" t="str">
        <x:v>Downward motion/deceleration profile absent</x:v>
      </x:c>
      <x:c r="G15" s="67" t="str">
        <x:v>Size bus power sink/clamp/resistor, overvoltage protection, supply absorption, fuses, wire/connector and thermal limits</x:v>
      </x:c>
      <x:c r="H15" s="67" t="str">
        <x:v>Open electrical design</x:v>
      </x:c>
    </x:row>
    <x:row r="16" ht="45" customHeight="1">
      <x:c r="A16" s="67" t="str">
        <x:v>R12</x:v>
      </x:c>
      <x:c r="B16" s="67" t="str">
        <x:v>Human-interaction hazard / unsafe prototype use</x:v>
      </x:c>
      <x:c r="C16" s="67" t="str">
        <x:v>Unknown</x:v>
      </x:c>
      <x:c r="D16" s="67" t="str">
        <x:v>Critical</x:v>
      </x:c>
      <x:c r="E16" s="67" t="str">
        <x:v>No hardware or safety certification claimed</x:v>
      </x:c>
      <x:c r="F16" s="67" t="str">
        <x:v>Humanoid joint with gravity-loaded mass</x:v>
      </x:c>
      <x:c r="G16" s="67" t="str">
        <x:v>Keep conceptual; future hardware requires risk assessment, guarding, E-stop, limits, fail-safe state, validation and qualified review</x:v>
      </x:c>
      <x:c r="H16" s="67" t="str">
        <x:v>Out of scope until authorized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Future Simulation / Verification Plan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ID</x:v>
      </x:c>
      <x:c r="B4" s="66" t="str">
        <x:v>Analysis / test</x:v>
      </x:c>
      <x:c r="C4" s="66" t="str">
        <x:v>Purpose</x:v>
      </x:c>
      <x:c r="D4" s="66" t="str">
        <x:v>Required inputs</x:v>
      </x:c>
      <x:c r="E4" s="66" t="str">
        <x:v>Method/tool</x:v>
      </x:c>
      <x:c r="F4" s="66" t="str">
        <x:v>Output / evidence</x:v>
      </x:c>
      <x:c r="G4" s="66" t="str">
        <x:v>Acceptance / exit criterion</x:v>
      </x:c>
      <x:c r="H4" s="66" t="str">
        <x:v>Priority</x:v>
      </x:c>
      <x:c r="I4" s="66" t="str">
        <x:v>Status</x:v>
      </x:c>
    </x:row>
    <x:row r="5" ht="45" customHeight="1">
      <x:c r="A5" s="67" t="str">
        <x:v>S01</x:v>
      </x:c>
      <x:c r="B5" s="67" t="str">
        <x:v>Static torque calculation</x:v>
      </x:c>
      <x:c r="C5" s="67" t="str">
        <x:v>Reproduce brief baseline</x:v>
      </x:c>
      <x:c r="D5" s="67" t="str">
        <x:v>Assignment masses, COM offsets, gravity, forearm horizontal</x:v>
      </x:c>
      <x:c r="E5" s="67" t="str">
        <x:v>Spreadsheet formulas</x:v>
      </x:c>
      <x:c r="F5" s="67" t="str">
        <x:v>Torque table</x:v>
      </x:c>
      <x:c r="G5" s="67" t="str">
        <x:v>T_total = 6.0822 N m, reproducible with units</x:v>
      </x:c>
      <x:c r="H5" s="67" t="str">
        <x:v>P0</x:v>
      </x:c>
      <x:c r="I5" s="67" t="str">
        <x:v>Complete</x:v>
      </x:c>
    </x:row>
    <x:row r="6" ht="45" customHeight="1">
      <x:c r="A6" s="67" t="str">
        <x:v>S02</x:v>
      </x:c>
      <x:c r="B6" s="67" t="str">
        <x:v>Motor speed/ratio screen</x:v>
      </x:c>
      <x:c r="C6" s="67" t="str">
        <x:v>Check kinematic feasibility</x:v>
      </x:c>
      <x:c r="D6" s="67" t="str">
        <x:v>45 rpm target; 91:1 ratio; official motor speed data</x:v>
      </x:c>
      <x:c r="E6" s="67" t="str">
        <x:v>Spreadsheet + manufacturer curve</x:v>
      </x:c>
      <x:c r="F6" s="67" t="str">
        <x:v>Required motor speed and speed margin</x:v>
      </x:c>
      <x:c r="G6" s="67" t="str">
        <x:v>4095 rpm target; vendor confirms loaded operation at target torque/temperature</x:v>
      </x:c>
      <x:c r="H6" s="67" t="str">
        <x:v>P0</x:v>
      </x:c>
      <x:c r="I6" s="67" t="str">
        <x:v>Screen complete; vendor check open</x:v>
      </x:c>
    </x:row>
    <x:row r="7" ht="45" customHeight="1">
      <x:c r="A7" s="67" t="str">
        <x:v>S03</x:v>
      </x:c>
      <x:c r="B7" s="67" t="str">
        <x:v>Efficiency sensitivity</x:v>
      </x:c>
      <x:c r="C7" s="67" t="str">
        <x:v>Understand gearbox-loss sensitivity</x:v>
      </x:c>
      <x:c r="D7" s="67" t="str">
        <x:v>Torque, output speed, ratio, Kt/current/continuous torque, efficiency range</x:v>
      </x:c>
      <x:c r="E7" s="67" t="str">
        <x:v>Formula-driven workbook</x:v>
      </x:c>
      <x:c r="F7" s="67" t="str">
        <x:v>Motor torque/current/power by eta</x:v>
      </x:c>
      <x:c r="G7" s="67" t="str">
        <x:v>Documented range; no reliance on maximum efficiency as guaranteed</x:v>
      </x:c>
      <x:c r="H7" s="67" t="str">
        <x:v>P0</x:v>
      </x:c>
      <x:c r="I7" s="67" t="str">
        <x:v>Complete as screening</x:v>
      </x:c>
    </x:row>
    <x:row r="8" ht="45" customHeight="1">
      <x:c r="A8" s="67" t="str">
        <x:v>S04</x:v>
      </x:c>
      <x:c r="B8" s="67" t="str">
        <x:v>Dynamic torque/inertia model</x:v>
      </x:c>
      <x:c r="C8" s="67" t="str">
        <x:v>Peak and RMS torque under representative trajectory</x:v>
      </x:c>
      <x:c r="D8" s="67" t="str">
        <x:v>Link mass distributions, payload range, angular acceleration, speed, friction, cycle and dwell</x:v>
      </x:c>
      <x:c r="E8" s="67" t="str">
        <x:v>Rigid-body equations / Python or MATLAB/Simulink</x:v>
      </x:c>
      <x:c r="F8" s="67" t="str">
        <x:v>T_peak(t), T_RMS, speed/acceleration profiles, energy per cycle</x:v>
      </x:c>
      <x:c r="G8" s="67" t="str">
        <x:v>Peak below approved transient limits; RMS/thermal below manufacturer continuous/thermal limit for the full duty</x:v>
      </x:c>
      <x:c r="H8" s="67" t="str">
        <x:v>P1</x:v>
      </x:c>
      <x:c r="I8" s="67" t="str">
        <x:v>Blocked: project motion input missing</x:v>
      </x:c>
    </x:row>
    <x:row r="9" ht="45" customHeight="1">
      <x:c r="A9" s="67" t="str">
        <x:v>S05</x:v>
      </x:c>
      <x:c r="B9" s="67" t="str">
        <x:v>Gearhead + coupling load case</x:v>
      </x:c>
      <x:c r="C9" s="67" t="str">
        <x:v>Check peak/continuous torque and reversals</x:v>
      </x:c>
      <x:c r="D9" s="67" t="str">
        <x:v>Output torque profile, duty, reversals, shock/service factors, exact hub family</x:v>
      </x:c>
      <x:c r="E9" s="67" t="str">
        <x:v>Manufacturer selection tools / vendor confirmation</x:v>
      </x:c>
      <x:c r="F9" s="67" t="str">
        <x:v>Configuration and service factor record</x:v>
      </x:c>
      <x:c r="G9" s="67" t="str">
        <x:v>All continuous/intermittent torque and speed limits met with approved application factor</x:v>
      </x:c>
      <x:c r="H9" s="67" t="str">
        <x:v>P1</x:v>
      </x:c>
      <x:c r="I9" s="67" t="str">
        <x:v>Blocked: vendor configuration/duty missing</x:v>
      </x:c>
    </x:row>
    <x:row r="10" ht="45" customHeight="1">
      <x:c r="A10" s="67" t="str">
        <x:v>S06</x:v>
      </x:c>
      <x:c r="B10" s="67" t="str">
        <x:v>Shaft strength/deflection</x:v>
      </x:c>
      <x:c r="C10" s="67" t="str">
        <x:v>Verify spindle at nominal and peak load</x:v>
      </x:c>
      <x:c r="D10" s="67" t="str">
        <x:v>Exact shaft geometry/material certificate, key/hub details, load cases and tolerances</x:v>
      </x:c>
      <x:c r="E10" s="67" t="str">
        <x:v>Hand calculations + CAD; FEA if warranted</x:v>
      </x:c>
      <x:c r="F10" s="67" t="str">
        <x:v>Stress, deflection, fatigue/notch evaluation</x:v>
      </x:c>
      <x:c r="G10" s="67" t="str">
        <x:v>Documented margin meets project criteria across load cases; no generic ratio substituted for design factor</x:v>
      </x:c>
      <x:c r="H10" s="67" t="str">
        <x:v>P1</x:v>
      </x:c>
      <x:c r="I10" s="67" t="str">
        <x:v>First-pass nominal screen complete; detailed design open</x:v>
      </x:c>
    </x:row>
    <x:row r="11" ht="45" customHeight="1">
      <x:c r="A11" s="67" t="str">
        <x:v>S07</x:v>
      </x:c>
      <x:c r="B11" s="67" t="str">
        <x:v>Key/hub interface</x:v>
      </x:c>
      <x:c r="C11" s="67" t="str">
        <x:v>Verify torque transfer at peak torque</x:v>
      </x:c>
      <x:c r="D11" s="67" t="str">
        <x:v>Exact keyway/hub geometry, key material, engagement, torque reversals</x:v>
      </x:c>
      <x:c r="E11" s="67" t="str">
        <x:v>Standard key formulas + vendor hub drawing</x:v>
      </x:c>
      <x:c r="F11" s="67" t="str">
        <x:v>Bearing/shear/contact pressures and fit</x:v>
      </x:c>
      <x:c r="G11" s="67" t="str">
        <x:v>Allowables from material/components and project criteria met; hub installation instructions satisfied</x:v>
      </x:c>
      <x:c r="H11" s="67" t="str">
        <x:v>P1</x:v>
      </x:c>
      <x:c r="I11" s="67" t="str">
        <x:v>Blocked: selected hub/material missing</x:v>
      </x:c>
    </x:row>
    <x:row r="12" ht="45" customHeight="1">
      <x:c r="A12" s="67" t="str">
        <x:v>S08</x:v>
      </x:c>
      <x:c r="B12" s="67" t="str">
        <x:v>Bearing reaction and life</x:v>
      </x:c>
      <x:c r="C12" s="67" t="str">
        <x:v>Check radial/axial reactions and service life</x:v>
      </x:c>
      <x:c r="D12" s="67" t="str">
        <x:v>Actual load plane, link masses/COM, axial loads, cycles, oscillation angles, fits, grease/temp</x:v>
      </x:c>
      <x:c r="E12" s="67" t="str">
        <x:v>Beam/FBD + bearing manufacturer calculation method</x:v>
      </x:c>
      <x:c r="F12" s="67" t="str">
        <x:v>Reaction summary and modified life/oscillation checks</x:v>
      </x:c>
      <x:c r="G12" s="67" t="str">
        <x:v>Bearing life exceeds specified service life with approved reliability/conditions; fits and axial load valid</x:v>
      </x:c>
      <x:c r="H12" s="67" t="str">
        <x:v>P1</x:v>
      </x:c>
      <x:c r="I12" s="67" t="str">
        <x:v>Static screen complete; full life input missing</x:v>
      </x:c>
    </x:row>
    <x:row r="13" ht="45" customHeight="1">
      <x:c r="A13" s="67" t="str">
        <x:v>S09</x:v>
      </x:c>
      <x:c r="B13" s="67" t="str">
        <x:v>CAD assembly/interference</x:v>
      </x:c>
      <x:c r="C13" s="67" t="str">
        <x:v>Verify physical assembly access and motion envelope</x:v>
      </x:c>
      <x:c r="D13" s="67" t="str">
        <x:v>Exact vendor CAD, final hub/encoder/controller/cables, link envelope and fasteners</x:v>
      </x:c>
      <x:c r="E13" s="67" t="str">
        <x:v>FreeCAD or equivalent CAD clash/sweep review</x:v>
      </x:c>
      <x:c r="F13" s="67" t="str">
        <x:v>Native file, interference report, access screenshots</x:v>
      </x:c>
      <x:c r="G13" s="67" t="str">
        <x:v>No unintended solid clashes; required service tool/cable clearances documented</x:v>
      </x:c>
      <x:c r="H13" s="67" t="str">
        <x:v>P1</x:v>
      </x:c>
      <x:c r="I13" s="67" t="str">
        <x:v>Envelope concept complete; exact vendor CAD missing</x:v>
      </x:c>
    </x:row>
    <x:row r="14" ht="45" customHeight="1">
      <x:c r="A14" s="67" t="str">
        <x:v>S10</x:v>
      </x:c>
      <x:c r="B14" s="67" t="str">
        <x:v>Static structural FEA (optional future)</x:v>
      </x:c>
      <x:c r="C14" s="67" t="str">
        <x:v>Find local stress/deflection hot spots</x:v>
      </x:c>
      <x:c r="D14" s="67" t="str">
        <x:v>Final geometry, materials, contacts, bolt preload, support and loads</x:v>
      </x:c>
      <x:c r="E14" s="67" t="str">
        <x:v>FreeCAD FEM/CalculiX, Ansys or equivalent</x:v>
      </x:c>
      <x:c r="F14" s="67" t="str">
        <x:v>Mesh-converged stress/deformation results</x:v>
      </x:c>
      <x:c r="G14" s="67" t="str">
        <x:v>Mesh convergence and boundary-condition review; results correlate with hand checks; project acceptance limits met</x:v>
      </x:c>
      <x:c r="H14" s="67" t="str">
        <x:v>P2</x:v>
      </x:c>
      <x:c r="I14" s="67" t="str">
        <x:v>Not required by assignment; not run</x:v>
      </x:c>
    </x:row>
    <x:row r="15" ht="45" customHeight="1">
      <x:c r="A15" s="67" t="str">
        <x:v>S11</x:v>
      </x:c>
      <x:c r="B15" s="67" t="str">
        <x:v>Fatigue assessment (if duty requires)</x:v>
      </x:c>
      <x:c r="C15" s="67" t="str">
        <x:v>Assess repeated joint motion</x:v>
      </x:c>
      <x:c r="D15" s="67" t="str">
        <x:v>Load cycles, spectrum, material S-N data/heat treatment, stress concentrations</x:v>
      </x:c>
      <x:c r="E15" s="67" t="str">
        <x:v>Analytical fatigue method / FEA stress history</x:v>
      </x:c>
      <x:c r="F15" s="67" t="str">
        <x:v>Life/damage estimate and design decisions</x:v>
      </x:c>
      <x:c r="G15" s="67" t="str">
        <x:v>Life/reliability target met with appropriate fatigue data and notch factors</x:v>
      </x:c>
      <x:c r="H15" s="67" t="str">
        <x:v>P2</x:v>
      </x:c>
      <x:c r="I15" s="67" t="str">
        <x:v>Input-gated; not run</x:v>
      </x:c>
    </x:row>
    <x:row r="16" ht="45" customHeight="1">
      <x:c r="A16" s="67" t="str">
        <x:v>S12</x:v>
      </x:c>
      <x:c r="B16" s="67" t="str">
        <x:v>Thermal drive model</x:v>
      </x:c>
      <x:c r="C16" s="67" t="str">
        <x:v>Predict motor, reducer and controller temperature</x:v>
      </x:c>
      <x:c r="D16" s="67" t="str">
        <x:v>Motion current/time trace, losses, ambient, mounting/thermal path, manufacturer thermal parameters</x:v>
      </x:c>
      <x:c r="E16" s="67" t="str">
        <x:v>Manufacturer tool/thermal RC model</x:v>
      </x:c>
      <x:c r="F16" s="67" t="str">
        <x:v>Winding/case/reducer/controller temperatures vs duty</x:v>
      </x:c>
      <x:c r="G16" s="67" t="str">
        <x:v>Within manufacturer continuous/intermittent limits under worst approved ambient and duty</x:v>
      </x:c>
      <x:c r="H16" s="67" t="str">
        <x:v>P1</x:v>
      </x:c>
      <x:c r="I16" s="67" t="str">
        <x:v>Blocked: duty and thermal parameters missing</x:v>
      </x:c>
    </x:row>
    <x:row r="17" ht="45" customHeight="1">
      <x:c r="A17" s="67" t="str">
        <x:v>S13</x:v>
      </x:c>
      <x:c r="B17" s="67" t="str">
        <x:v>Regenerative bus analysis</x:v>
      </x:c>
      <x:c r="C17" s="67" t="str">
        <x:v>Prevent DC bus overvoltage</x:v>
      </x:c>
      <x:c r="D17" s="67" t="str">
        <x:v>Decel profile, rotating inertia, supply sink capability, controller thresholds/resistor data</x:v>
      </x:c>
      <x:c r="E17" s="67" t="str">
        <x:v>Energy balance + controller application guide</x:v>
      </x:c>
      <x:c r="F17" s="67" t="str">
        <x:v>Peak bus voltage, regen energy/power, clamp/resistor sizing</x:v>
      </x:c>
      <x:c r="G17" s="67" t="str">
        <x:v>Bus remains within ratings with approved fault/stop cases</x:v>
      </x:c>
      <x:c r="H17" s="67" t="str">
        <x:v>P1</x:v>
      </x:c>
      <x:c r="I17" s="67" t="str">
        <x:v>Blocked: motion/supply selection missing</x:v>
      </x:c>
    </x:row>
    <x:row r="18" ht="45" customHeight="1">
      <x:c r="A18" s="67" t="str">
        <x:v>S14</x:v>
      </x:c>
      <x:c r="B18" s="67" t="str">
        <x:v>Control/position accuracy plan</x:v>
      </x:c>
      <x:c r="C18" s="67" t="str">
        <x:v>Determine if motor encoder is sufficient</x:v>
      </x:c>
      <x:c r="D18" s="67" t="str">
        <x:v>Backlash, stiffness, required joint error, load changes, controller loop and output sensor options</x:v>
      </x:c>
      <x:c r="E18" s="67" t="str">
        <x:v>Control model and quantization/error budget</x:v>
      </x:c>
      <x:c r="F18" s="67" t="str">
        <x:v>Error budget and sensor recommendation</x:v>
      </x:c>
      <x:c r="G18" s="67" t="str">
        <x:v>Predicted/verified loaded endpoint error below requirement over reversal and hold cases</x:v>
      </x:c>
      <x:c r="H18" s="67" t="str">
        <x:v>P1</x:v>
      </x:c>
      <x:c r="I18" s="67" t="str">
        <x:v>Blocked: accuracy requirement missing</x:v>
      </x:c>
    </x:row>
    <x:row r="19" ht="45" customHeight="1">
      <x:c r="A19" s="67" t="str">
        <x:v>S15</x:v>
      </x:c>
      <x:c r="B19" s="67" t="str">
        <x:v>Safe-state/power-loss analysis</x:v>
      </x:c>
      <x:c r="C19" s="67" t="str">
        <x:v>Prevent gravity-driven fall or hazardous motion</x:v>
      </x:c>
      <x:c r="D19" s="67" t="str">
        <x:v>Use-case risk analysis, holding torque, stop-time, power-loss behavior, human-access context</x:v>
      </x:c>
      <x:c r="E19" s="67" t="str">
        <x:v>Risk assessment and system safety design</x:v>
      </x:c>
      <x:c r="F19" s="67" t="str">
        <x:v>Safe-state requirements, brake/hold selection and failure response</x:v>
      </x:c>
      <x:c r="G19" s="67" t="str">
        <x:v>Signed-off safe-state architecture; brake holds worst load or other independently validated safe support</x:v>
      </x:c>
      <x:c r="H19" s="67" t="str">
        <x:v>P0 for real robot; not required for assignment concept</x:v>
      </x:c>
      <x:c r="I19" s="67" t="str">
        <x:v>Open safety requirement</x:v>
      </x:c>
    </x:row>
    <x:row r="20" ht="45" customHeight="1">
      <x:c r="A20" s="67" t="str">
        <x:v>S16</x:v>
      </x:c>
      <x:c r="B20" s="67" t="str">
        <x:v>Physical bench verification (future only)</x:v>
      </x:c>
      <x:c r="C20" s="67" t="str">
        <x:v>Confirm model/vendor results after authorization</x:v>
      </x:c>
      <x:c r="D20" s="67" t="str">
        <x:v>Approved detailed drawings, calibrated torque/speed/current/temp sensors, safe fixture, guard/E-stop, duty cycle</x:v>
      </x:c>
      <x:c r="E20" s="67" t="str">
        <x:v>Instrumented supervised test bench</x:v>
      </x:c>
      <x:c r="F20" s="67" t="str">
        <x:v>Time-aligned torque/speed/current/temp data and test report</x:v>
      </x:c>
      <x:c r="G20" s="67" t="str">
        <x:v>No exceedance of approved component limits; repeatable target speed/torque; temperature stabilizes for required duty</x:v>
      </x:c>
      <x:c r="H20" s="67" t="str">
        <x:v>P2</x:v>
      </x:c>
      <x:c r="I20" s="67" t="str">
        <x:v>Not performed; purchases/manufacturing prohibited by brief</x:v>
      </x:c>
    </x:row>
    <x:row r="21" ht="45" customHeight="1">
      <x:c r="A21" s="67" t="str">
        <x:v>S17</x:v>
      </x:c>
      <x:c r="B21" s="67" t="str">
        <x:v>Release review</x:v>
      </x:c>
      <x:c r="C21" s="67" t="str">
        <x:v>Ensure claims match evidence</x:v>
      </x:c>
      <x:c r="D21" s="67" t="str">
        <x:v>All artifacts, original brief, vendor replies, test/analysis records</x:v>
      </x:c>
      <x:c r="E21" s="67" t="str">
        <x:v>Traceability review + PDF/STEP/doc renders</x:v>
      </x:c>
      <x:c r="F21" s="67" t="str">
        <x:v>Signed verification matrix and versioned package</x:v>
      </x:c>
      <x:c r="G21" s="67" t="str">
        <x:v>Every assignment task mapped; all open gates visible; no undocumented assumptions or claims</x:v>
      </x:c>
      <x:c r="H21" s="67" t="str">
        <x:v>P0</x:v>
      </x:c>
      <x:c r="I21" s="67" t="str">
        <x:v>Package ready for concept-stage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Gap Closure Register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Gap / open issue</x:v>
      </x:c>
      <x:c r="B4" s="66" t="str">
        <x:v>Original brief status</x:v>
      </x:c>
      <x:c r="C4" s="66" t="str">
        <x:v>Work completed in this release</x:v>
      </x:c>
      <x:c r="D4" s="66" t="str">
        <x:v>Current status</x:v>
      </x:c>
      <x:c r="E4" s="66" t="str">
        <x:v>Exact closure method</x:v>
      </x:c>
      <x:c r="F4" s="66" t="str">
        <x:v>Required input / owner</x:v>
      </x:c>
    </x:row>
    <x:row r="5" ht="45" customHeight="1">
      <x:c r="A5" s="67" t="str">
        <x:v>Native FCStd file</x:v>
      </x:c>
      <x:c r="B5" s="67" t="str">
        <x:v>Equivalent CAD tools allowed; FreeCAD not mandated if equivalent delivered</x:v>
      </x:c>
      <x:c r="C5" s="67" t="str">
        <x:v>STEP plus CadQuery builder and FreeCAD macro included</x:v>
      </x:c>
      <x:c r="D5" s="67" t="str">
        <x:v>Optional / tool-gated</x:v>
      </x:c>
      <x:c r="E5" s="67" t="str">
        <x:v>Open STEP in FreeCAD; run macro; save FCStd; inspect all components, dimensions and coordinate axes</x:v>
      </x:c>
      <x:c r="F5" s="67" t="str">
        <x:v>FreeCAD workstation; CAD owner</x:v>
      </x:c>
    </x:row>
    <x:row r="6" ht="45" customHeight="1">
      <x:c r="A6" s="67" t="str">
        <x:v>Exact configured drive order code</x:v>
      </x:c>
      <x:c r="B6" s="67" t="str">
        <x:v>Commercial combination required; exact SKU not demanded but evidence required</x:v>
      </x:c>
      <x:c r="C6" s="67" t="str">
        <x:v>Motor/gearhead/encoder/controller candidates and official refs reviewed</x:v>
      </x:c>
      <x:c r="D6" s="67" t="str">
        <x:v>Open vendor confirmation</x:v>
      </x:c>
      <x:c r="E6" s="67" t="str">
        <x:v>Request maxon combo configurator output and dimension drawing for EC-i 52 579165 + GP52C 223094 + ENX16EASY06/drive</x:v>
      </x:c>
      <x:c r="F6" s="67" t="str">
        <x:v>maxon application engineer</x:v>
      </x:c>
    </x:row>
    <x:row r="7" ht="45" customHeight="1">
      <x:c r="A7" s="67" t="str">
        <x:v>180 W class vs nominal torque×speed arithmetic</x:v>
      </x:c>
      <x:c r="B7" s="67" t="str">
        <x:v>Source data should be documented; any apparent inconsistency explained</x:v>
      </x:c>
      <x:c r="C7" s="67" t="str">
        <x:v>Arithmetic difference recorded without assuming a rating convention</x:v>
      </x:c>
      <x:c r="D7" s="67" t="str">
        <x:v>Open vendor clarification</x:v>
      </x:c>
      <x:c r="E7" s="67" t="str">
        <x:v>Ask maxon to confirm the applicable rated power/nominal operating point and supply the torque-speed and thermal curve around 4095 rpm. Do not treat the published 0.321 rpm/mNm gradient as constant because Maxon says EC-i iron-winding characteristics depend on speed.</x:v>
      </x:c>
      <x:c r="F7" s="67" t="str">
        <x:v>maxon application engineer</x:v>
      </x:c>
    </x:row>
    <x:row r="8" ht="45" customHeight="1">
      <x:c r="A8" s="67" t="str">
        <x:v>Gearhead efficiency at point</x:v>
      </x:c>
      <x:c r="B8" s="67" t="str">
        <x:v>Not specified by assignment</x:v>
      </x:c>
      <x:c r="C8" s="67" t="str">
        <x:v>75% catalogue maximum with 75%-30% sensitivity table</x:v>
      </x:c>
      <x:c r="D8" s="67" t="str">
        <x:v>Open / conditional</x:v>
      </x:c>
      <x:c r="E8" s="67" t="str">
        <x:v>Obtain or measure efficiency vs output torque/speed and duty; use conservative confirmed curve in sizing</x:v>
      </x:c>
      <x:c r="F8" s="67" t="str">
        <x:v>maxon + actual duty profile</x:v>
      </x:c>
    </x:row>
    <x:row r="9" ht="45" customHeight="1">
      <x:c r="A9" s="67" t="str">
        <x:v>Motion / duty / acceleration</x:v>
      </x:c>
      <x:c r="B9" s="67" t="str">
        <x:v>Missing from brief</x:v>
      </x:c>
      <x:c r="C9" s="67" t="str">
        <x:v>Specific data questions and RMS/peak torque method included in plan</x:v>
      </x:c>
      <x:c r="D9" s="67" t="str">
        <x:v>Open input</x:v>
      </x:c>
      <x:c r="E9" s="67" t="str">
        <x:v>Define trajectory, velocity/acceleration, time at hold, cycles/hour, reversals, payload variability and impact assumptions; calculate link inertia and RMS/peak torque</x:v>
      </x:c>
      <x:c r="F9" s="67" t="str">
        <x:v>Project lead</x:v>
      </x:c>
    </x:row>
    <x:row r="10" ht="45" customHeight="1">
      <x:c r="A10" s="67" t="str">
        <x:v>Thermal performance</x:v>
      </x:c>
      <x:c r="B10" s="67" t="str">
        <x:v>Not specified</x:v>
      </x:c>
      <x:c r="C10" s="67" t="str">
        <x:v>Input checklist and verification method documented</x:v>
      </x:c>
      <x:c r="D10" s="67" t="str">
        <x:v>Open validation</x:v>
      </x:c>
      <x:c r="E10" s="67" t="str">
        <x:v>Vendor thermal calculation, then instrumented representative duty test if hardware becomes authorized</x:v>
      </x:c>
      <x:c r="F10" s="67" t="str">
        <x:v>Project lead + maxon</x:v>
      </x:c>
    </x:row>
    <x:row r="11" ht="45" customHeight="1">
      <x:c r="A11" s="67" t="str">
        <x:v>Coupling hubs and service factor</x:v>
      </x:c>
      <x:c r="B11" s="67" t="str">
        <x:v>Exact hub not in brief</x:v>
      </x:c>
      <x:c r="C11" s="67" t="str">
        <x:v>ROTEX GS size 19 / 98ShA reference and 21 N m rated torque screen included</x:v>
      </x:c>
      <x:c r="D11" s="67" t="str">
        <x:v>Open vendor/design confirmation</x:v>
      </x:c>
      <x:c r="E11" s="67" t="str">
        <x:v>Select two hubs with exact bores/keying; check torque service factor, speed, torsional stiffness, misalignment and servo reversals</x:v>
      </x:c>
      <x:c r="F11" s="67" t="str">
        <x:v>KTR + mechanical designer</x:v>
      </x:c>
    </x:row>
    <x:row r="12" ht="45" customHeight="1">
      <x:c r="A12" s="67" t="str">
        <x:v>Bearing loading/life/fit</x:v>
      </x:c>
      <x:c r="B12" s="67" t="str">
        <x:v>Not specified</x:v>
      </x:c>
      <x:c r="C12" s="67" t="str">
        <x:v>50 mm spacing / 50 mm axial overhang geometry screen and reactions calculated</x:v>
      </x:c>
      <x:c r="D12" s="67" t="str">
        <x:v>Open detailed design</x:v>
      </x:c>
      <x:c r="E12" s="67" t="str">
        <x:v>Use exact link-root load plane and all load cases; select fits/clearance and compute modified L10 life for oscillatory cycle; check axial loads</x:v>
      </x:c>
      <x:c r="F12" s="67" t="str">
        <x:v>Mechanical designer + SKF</x:v>
      </x:c>
    </x:row>
    <x:row r="13" ht="45" customHeight="1">
      <x:c r="A13" s="67" t="str">
        <x:v>Shaft/key detailed sizing</x:v>
      </x:c>
      <x:c r="B13" s="67" t="str">
        <x:v>Not required at manufacturing depth</x:v>
      </x:c>
      <x:c r="C13" s="67" t="str">
        <x:v>Explicit unit-converted nominal bending, torsion and key stresses provided</x:v>
      </x:c>
      <x:c r="D13" s="67" t="str">
        <x:v>Open detailed design</x:v>
      </x:c>
      <x:c r="E13" s="67" t="str">
        <x:v>Finalize material condition, key/hub engagement, shoulders, grooves, deflection, fatigue, notch factors, fit, retention and torque reversals</x:v>
      </x:c>
      <x:c r="F13" s="67" t="str">
        <x:v>Mechanical designer/material cert</x:v>
      </x:c>
    </x:row>
    <x:row r="14" ht="45" customHeight="1">
      <x:c r="A14" s="67" t="str">
        <x:v>Backlash / positioning accuracy</x:v>
      </x:c>
      <x:c r="B14" s="67" t="str">
        <x:v>Output encoder preferred / encoder requirement given; precision threshold absent</x:v>
      </x:c>
      <x:c r="C14" s="67" t="str">
        <x:v>1 degree average no-load reducer backlash converted to ~6.1 mm arc at 350 mm radius</x:v>
      </x:c>
      <x:c r="D14" s="67" t="str">
        <x:v>Open requirement</x:v>
      </x:c>
      <x:c r="E14" s="67" t="str">
        <x:v>Set allowed endpoint error, stiffness, control behavior and safety margin; decide whether output encoder or low-backlash reducer needed</x:v>
      </x:c>
      <x:c r="F14" s="67" t="str">
        <x:v>Project lead + controls</x:v>
      </x:c>
    </x:row>
    <x:row r="15" ht="45" customHeight="1">
      <x:c r="A15" s="67" t="str">
        <x:v>Power-loss holding</x:v>
      </x:c>
      <x:c r="B15" s="67" t="str">
        <x:v>Not specified in brief</x:v>
      </x:c>
      <x:c r="C15" s="67" t="str">
        <x:v>Supervised use and no unattended hold boundary stated</x:v>
      </x:c>
      <x:c r="D15" s="67" t="str">
        <x:v>Open safety gate for real robot</x:v>
      </x:c>
      <x:c r="E15" s="67" t="str">
        <x:v>Define safe state and holding torque; safety analysis; select normally engaged brake/architecture and test fail-safe stop</x:v>
      </x:c>
      <x:c r="F15" s="67" t="str">
        <x:v>Safety owner + project lead</x:v>
      </x:c>
    </x:row>
    <x:row r="16" ht="45" customHeight="1">
      <x:c r="A16" s="67" t="str">
        <x:v>Interference, access and cabling</x:v>
      </x:c>
      <x:c r="B16" s="67" t="str">
        <x:v>Conceptual assembly expected</x:v>
      </x:c>
      <x:c r="C16" s="67" t="str">
        <x:v>Envelope STEP, removable cap concept, root bracket and exploded drawing</x:v>
      </x:c>
      <x:c r="D16" s="67" t="str">
        <x:v>Open CAD review</x:v>
      </x:c>
      <x:c r="E16" s="67" t="str">
        <x:v>Import exact vendor STEP models; check sweep/collision, bolt tool access, encoder/cable bend, service removal and tolerances</x:v>
      </x:c>
      <x:c r="F16" s="67" t="str">
        <x:v>CAD owner</x:v>
      </x:c>
    </x:row>
    <x:row r="17" ht="45" customHeight="1">
      <x:c r="A17" s="67" t="str">
        <x:v>Static/dynamic FEA</x:v>
      </x:c>
      <x:c r="B17" s="67" t="str">
        <x:v>Not required by original brief</x:v>
      </x:c>
      <x:c r="C17" s="67" t="str">
        <x:v>A future analysis plan specified; no invented simulation results</x:v>
      </x:c>
      <x:c r="D17" s="67" t="str">
        <x:v>Out of assignment scope / future plan</x:v>
      </x:c>
      <x:c r="E17" s="67" t="str">
        <x:v>After geometry/material/load cases freeze, run static FEA with mesh convergence and boundary/load validation; fatigue study if cycles dictate</x:v>
      </x:c>
      <x:c r="F17" s="67" t="str">
        <x:v>FEA-capable engineer</x:v>
      </x:c>
    </x:row>
    <x:row r="18" ht="45" customHeight="1">
      <x:c r="A18" s="67" t="str">
        <x:v>Physical prototype</x:v>
      </x:c>
      <x:c r="B18" s="67" t="str">
        <x:v>Explicitly not required; do not purchase/manufacture for assignment</x:v>
      </x:c>
      <x:c r="C18" s="67" t="str">
        <x:v>No parts purchased or manufactured</x:v>
      </x:c>
      <x:c r="D18" s="67" t="str">
        <x:v>Correctly not performed</x:v>
      </x:c>
      <x:c r="E18" s="67" t="str">
        <x:v>Only if later authorized: review drawings/safety, procure, build fixture and conduct staged supervised tests</x:v>
      </x:c>
      <x:c r="F18" s="67" t="str">
        <x:v>Project authorization required</x:v>
      </x:c>
    </x:row>
    <x:row r="19" ht="45" customHeight="1">
      <x:c r="A19" s="67" t="str">
        <x:v>10-minute presentation</x:v>
      </x:c>
      <x:c r="B19" s="67" t="str">
        <x:v>Final Review asks for one</x:v>
      </x:c>
      <x:c r="C19" s="67" t="str">
        <x:v>8-slide PPTX/PDF, timed talk track and anticipated technical Q&amp;A included</x:v>
      </x:c>
      <x:c r="D19" s="67" t="str">
        <x:v>Complete for preparation</x:v>
      </x:c>
      <x:c r="E19" s="67" t="str">
        <x:v>Practice to time; personalize delivery; keep calculations and CAD ready for discussion</x:v>
      </x:c>
      <x:c r="F19" s="67" t="str">
        <x:v>Presenter</x:v>
      </x:c>
    </x:row>
    <x:row r="20" ht="45" customHeight="1">
      <x:c r="A20" s="67" t="str">
        <x:v>Final package audit</x:v>
      </x:c>
      <x:c r="B20" s="67" t="str">
        <x:v>Organization evaluated</x:v>
      </x:c>
      <x:c r="C20" s="67" t="str">
        <x:v>Traceability, plan, QA review, BOM, CSV sheets, checksums and original brief included</x:v>
      </x:c>
      <x:c r="D20" s="67" t="str">
        <x:v>Complete after final file audit</x:v>
      </x:c>
      <x:c r="E20" s="67" t="str">
        <x:v>Rebuild ZIP from final folder, run integrity check, verify every index path and checksum</x:v>
      </x:c>
      <x:c r="F20" s="67" t="str">
        <x:v>Release owner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28" customHeight="1">
      <x:c r="A1" s="5" t="str">
        <x:v>Supplier Clarifications Required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Imported from the current register; see status/caveat columns and do not treat shortlist data as a release.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66" t="str">
        <x:v>ID</x:v>
      </x:c>
      <x:c r="B4" s="66" t="str">
        <x:v>Recipient</x:v>
      </x:c>
      <x:c r="C4" s="66" t="str">
        <x:v>Topic</x:v>
      </x:c>
      <x:c r="D4" s="66" t="str">
        <x:v>Question to send</x:v>
      </x:c>
      <x:c r="E4" s="66" t="str">
        <x:v>Why required</x:v>
      </x:c>
      <x:c r="F4" s="66" t="str">
        <x:v>Deliverable required</x:v>
      </x:c>
      <x:c r="G4" s="66" t="str">
        <x:v>Status</x:v>
      </x:c>
    </x:row>
    <x:row r="5" ht="45" customHeight="1">
      <x:c r="A5" s="67" t="str">
        <x:v>SUP-01</x:v>
      </x:c>
      <x:c r="B5" s="67" t="str">
        <x:v>maxon application engineering</x:v>
      </x:c>
      <x:c r="C5" s="67" t="str">
        <x:v>Configured drive combination</x:v>
      </x:c>
      <x:c r="D5" s="67" t="str">
        <x:v>Please confirm the orderable motor/gearhead/encoder combination for EC-i 52 48 V part 579165 + GP 52 C 91:1 part 223094 + ENX16EASY06, including all suffixes, dimension drawing, shaft/key interface and permitted encoder/controller pairing.</x:v>
      </x:c>
      <x:c r="E5" s="67" t="str">
        <x:v>Parts are configurable combination components; current design uses catalogue envelopes.</x:v>
      </x:c>
      <x:c r="F5" s="67" t="str">
        <x:v>Written configured part numbers + dimensioned stack drawing + interface requirements</x:v>
      </x:c>
      <x:c r="G5" s="67" t="str">
        <x:v>Draft prepared; not sent</x:v>
      </x:c>
    </x:row>
    <x:row r="6" ht="45" customHeight="1">
      <x:c r="A6" s="67" t="str">
        <x:v>SUP-02</x:v>
      </x:c>
      <x:c r="B6" s="67" t="str">
        <x:v>maxon application engineering</x:v>
      </x:c>
      <x:c r="C6" s="67" t="str">
        <x:v>Motor operating point and rating-curve clarification</x:v>
      </x:c>
      <x:c r="D6" s="67" t="str">
        <x:v>At the proposed output point 12.164 N m and 45 rpm through 91:1, required motor speed is 4095 rpm and estimated motor torque is about 0.334 N m at an assumed 40% gearbox efficiency. The EC-i 52 579165 page lists 180 W class, 4470 rpm, 0.423 N m and a 0.321 rpm/mNm speed/torque-gradient value. Please confirm the applicable continuous operating point, the relation between the 180 W label and nominal torque/speed values, and provide the actual torque-speed and thermal curves at the required speed/torque/duty. Maxon support notes that EC-i iron-winding speed/torque characteristics are not a single straight line, so the gradient must not be extrapolated as constant.</x:v>
      </x:c>
      <x:c r="E6" s="67" t="str">
        <x:v>The 4095 rpm kinematic target leaves modest speed headroom; nominal Tω arithmetic is ~198 W versus the 180 W class label; EC-i curve slope is speed-dependent.</x:v>
      </x:c>
      <x:c r="F6" s="67" t="str">
        <x:v>Written operating-point / curve / thermal confirmation and recommended margin</x:v>
      </x:c>
      <x:c r="G6" s="67" t="str">
        <x:v>Draft prepared; not sent</x:v>
      </x:c>
    </x:row>
    <x:row r="7" ht="45" customHeight="1">
      <x:c r="A7" s="67" t="str">
        <x:v>SUP-03</x:v>
      </x:c>
      <x:c r="B7" s="67" t="str">
        <x:v>maxon application engineering</x:v>
      </x:c>
      <x:c r="C7" s="67" t="str">
        <x:v>Gearhead efficiency/backlash/load</x:v>
      </x:c>
      <x:c r="D7" s="67" t="str">
        <x:v>Please provide or confirm expected GP 52 C 91:1 efficiency at the proposed input speed/load/duty, continuous/intermittent operating limits, backlash under load, acceptable residual radial/axial shaft load with a coupling, and coupling alignment tolerances.</x:v>
      </x:c>
      <x:c r="E7" s="67" t="str">
        <x:v>75% is maximum efficiency, not guaranteed; backlash affects endpoint accuracy; separate bearing spindle alignment matters.</x:v>
      </x:c>
      <x:c r="F7" s="67" t="str">
        <x:v>Efficiency and load-point data + allowed interface loads</x:v>
      </x:c>
      <x:c r="G7" s="67" t="str">
        <x:v>Draft prepared; not sent</x:v>
      </x:c>
    </x:row>
    <x:row r="8" ht="45" customHeight="1">
      <x:c r="A8" s="67" t="str">
        <x:v>SUP-04</x:v>
      </x:c>
      <x:c r="B8" s="67" t="str">
        <x:v>KTR application engineering</x:v>
      </x:c>
      <x:c r="C8" s="67" t="str">
        <x:v>ROTEX GS hub selection</x:v>
      </x:c>
      <x:c r="D8" s="67" t="str">
        <x:v>Please specify suitable ROTEX GS size 19 hubs and spider grade for a 91:1 geared BLDC robotic elbow with preliminary target torque 12.164 N m, reversals, 45 rpm output and 4095 rpm motor input. Confirm bore/key options, service factor, peak torque, speed, torsional stiffness, misalignment and retention requirements.</x:v>
      </x:c>
      <x:c r="E8" s="67" t="str">
        <x:v>Rated spider torque alone does not prove servo/reversal suitability; exact hub geometry is not frozen.</x:v>
      </x:c>
      <x:c r="F8" s="67" t="str">
        <x:v>Selected hub order codes + installation drawing and application suitability response</x:v>
      </x:c>
      <x:c r="G8" s="67" t="str">
        <x:v>Draft prepared; not sent</x:v>
      </x:c>
    </x:row>
    <x:row r="9" ht="45" customHeight="1">
      <x:c r="A9" s="67" t="str">
        <x:v>SUP-05</x:v>
      </x:c>
      <x:c r="B9" s="67" t="str">
        <x:v>SKF application engineering (optional)</x:v>
      </x:c>
      <x:c r="C9" s="67" t="str">
        <x:v>Bearing life and fit review</x:v>
      </x:c>
      <x:c r="D9" s="67" t="str">
        <x:v>For two 6201-2RSH bearings at 50 mm centres supporting an estimated overhung radial load screen of 49.1 N/24.5 N, please confirm appropriate fit/clearance and any concerns for low-speed oscillatory joint service. Full duty/life/load data will be supplied when fixed.</x:v>
      </x:c>
      <x:c r="E9" s="67" t="str">
        <x:v>Nominal catalog load ratio does not establish modified bearing life or suitable oscillation/fit.</x:v>
      </x:c>
      <x:c r="F9" s="67" t="str">
        <x:v>Fit guidance and service-life calculation inputs</x:v>
      </x:c>
      <x:c r="G9" s="67" t="str">
        <x:v>Draft prepared; not sent</x:v>
      </x:c>
    </x:row>
    <x:row r="10" ht="45" customHeight="1">
      <x:c r="A10" s="67" t="str">
        <x:v>SUP-06</x:v>
      </x:c>
      <x:c r="B10" s="67" t="str">
        <x:v>Kritva project lead</x:v>
      </x:c>
      <x:c r="C10" s="67" t="str">
        <x:v>Requirement freeze</x:v>
      </x:c>
      <x:c r="D10" s="67" t="str">
        <x:v>Please define motion trajectory/speed/acceleration, cycle frequency, dwell/hold time, design life, payload variation, allowable endpoint error/backlash/stiffness, impact/interaction loads and behavior on power loss.</x:v>
      </x:c>
      <x:c r="E10" s="67" t="str">
        <x:v>These missing project inputs govern torque margin, thermal selection, gearhead class, output sensing and safe-state design.</x:v>
      </x:c>
      <x:c r="F10" s="67" t="str">
        <x:v>Approved requirements sheet</x:v>
      </x:c>
      <x:c r="G10" s="67" t="str">
        <x:v>Open project input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5" t="str">
        <x:v>Workbook Use &amp; Limitations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Model revision: 25 October 2026</x:v>
      </x:c>
      <x:c r="B2" s="12"/>
      <x:c r="C2" s="12"/>
      <x:c r="D2" s="12"/>
      <x:c r="E2" s="12"/>
      <x:c r="F2" s="12"/>
      <x:c r="G2" s="12"/>
      <x:c r="H2" s="12"/>
    </x:row>
    <x:row r="4" ht="36" customHeight="1">
      <x:c r="A4" s="20" t="str">
        <x:v>Topic</x:v>
      </x:c>
      <x:c r="B4" s="20" t="str">
        <x:v>Instructions</x:v>
      </x:c>
    </x:row>
    <x:row r="5" ht="36" customHeight="1">
      <x:c r="A5" s="28" t="str">
        <x:v>Purpose</x:v>
      </x:c>
      <x:c r="B5" s="28" t="str">
        <x:v>Editable first-order conceptual calculations and registers for KR-MECH-INT-001.</x:v>
      </x:c>
    </x:row>
    <x:row r="6" ht="36" customHeight="1">
      <x:c r="A6" s="28" t="str">
        <x:v>Edit inputs</x:v>
      </x:c>
      <x:c r="B6" s="28" t="str">
        <x:v>Change blue cells on Inputs; orange rows are assumptions that may also be varied. Linked formulas feed Dashboard and Calcs; the sensitivity table shows fixed scenarios.</x:v>
      </x:c>
    </x:row>
    <x:row r="7" ht="36" customHeight="1">
      <x:c r="A7" s="28" t="str">
        <x:v>Known inputs</x:v>
      </x:c>
      <x:c r="B7" s="28" t="str">
        <x:v>Payload/forearm-hand mass and COM radii; output speed; motor/transmission technology are from original brief.</x:v>
      </x:c>
    </x:row>
    <x:row r="8" ht="36" customHeight="1">
      <x:c r="A8" s="28" t="str">
        <x:v>Assumptions</x:v>
      </x:c>
      <x:c r="B8" s="28" t="str">
        <x:v>2× target multiplier, reducer efficiency scenarios, link lengths and shaft diameter are design assumptions or CAD envelope values.</x:v>
      </x:c>
    </x:row>
    <x:row r="9" ht="36" customHeight="1">
      <x:c r="A9" s="28" t="str">
        <x:v>Not modelled</x:v>
      </x:c>
      <x:c r="B9" s="28" t="str">
        <x:v>Dynamic inertia, peak/RMS duty, temperature, loaded torque-speed curve, detailed shaft fatigue, fit, life, FEA, backlash control error or safety certification.</x:v>
      </x:c>
    </x:row>
    <x:row r="10" ht="36" customHeight="1">
      <x:c r="A10" s="28" t="str">
        <x:v>Document links</x:v>
      </x:c>
      <x:c r="B10" s="28" t="str">
        <x:v>See the companion report, QA review, gap closure plan and supplier clarification register.</x:v>
      </x:c>
    </x:row>
  </x:sheetData>
  <x:mergeCells>
    <x:mergeCell ref="A1:H1"/>
    <x:mergeCell ref="A2:H2"/>
  </x:mergeCells>
  <x:pageMargins left="0.7" right="0.7" top="0.75" bottom="0.75" header="0.3" footer="0.3"/>
</x:worksheet>
</file>